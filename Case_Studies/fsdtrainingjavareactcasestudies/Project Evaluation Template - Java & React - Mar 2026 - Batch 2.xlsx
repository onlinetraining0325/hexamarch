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66925"/>
  <mc:AlternateContent xmlns:mc="http://schemas.openxmlformats.org/markup-compatibility/2006">
    <mc:Choice Requires="x15">
      <x15ac:absPath xmlns:x15ac="http://schemas.microsoft.com/office/spreadsheetml/2010/11/ac" url="C:\Users\2000076528\AppData\Local\Microsoft\Windows\INetCache\Content.Outlook\WNY74DIS\"/>
    </mc:Choice>
  </mc:AlternateContent>
  <xr:revisionPtr revIDLastSave="62" documentId="13_ncr:1_{9B6B643D-8D80-44FC-9A21-B95B80AD8A6A}" xr6:coauthVersionLast="47" xr6:coauthVersionMax="47" xr10:uidLastSave="{46482683-2535-457A-B97B-6C825F2D1A7E}"/>
  <bookViews>
    <workbookView xWindow="-120" yWindow="-120" windowWidth="20730" windowHeight="11040" activeTab="1" xr2:uid="{1900917D-43F6-4900-8444-78D9D41B35A8}"/>
  </bookViews>
  <sheets>
    <sheet name="Evaluation Parameters" sheetId="2" r:id="rId1"/>
    <sheet name="Scoring Sheet" sheetId="1" r:id="rId2"/>
    <sheet name="Sprint Evaluation Comments" sheetId="4" r:id="rId3"/>
    <sheet name="Evaluation Instructions" sheetId="3" state="hidden"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Y23" i="1" l="1"/>
  <c r="AS23" i="1"/>
  <c r="AI23" i="1"/>
  <c r="AJ23" i="1" s="1"/>
  <c r="AY22" i="1"/>
  <c r="AS22" i="1"/>
  <c r="AI22" i="1"/>
  <c r="AJ22" i="1"/>
  <c r="AY21" i="1"/>
  <c r="AS21" i="1"/>
  <c r="AI21" i="1"/>
  <c r="AJ21" i="1" s="1"/>
  <c r="AY20" i="1"/>
  <c r="AS20" i="1"/>
  <c r="AI20" i="1"/>
  <c r="AJ20" i="1"/>
  <c r="AY19" i="1"/>
  <c r="AS19" i="1"/>
  <c r="AI19" i="1"/>
  <c r="AJ19" i="1" s="1"/>
  <c r="AY18" i="1"/>
  <c r="AS18" i="1"/>
  <c r="AI18" i="1"/>
  <c r="AJ18" i="1"/>
  <c r="AY17" i="1"/>
  <c r="AS17" i="1"/>
  <c r="AI17" i="1"/>
  <c r="AJ17" i="1" s="1"/>
  <c r="AY16" i="1"/>
  <c r="AS16" i="1"/>
  <c r="AI16" i="1"/>
  <c r="AJ16" i="1"/>
  <c r="AY15" i="1"/>
  <c r="AS15" i="1"/>
  <c r="AI15" i="1"/>
  <c r="AJ15" i="1" s="1"/>
  <c r="AY14" i="1"/>
  <c r="AS14" i="1"/>
  <c r="AI14" i="1"/>
  <c r="AJ14" i="1"/>
  <c r="AY13" i="1"/>
  <c r="AS13" i="1"/>
  <c r="AI13" i="1"/>
  <c r="AJ13" i="1" s="1"/>
  <c r="AY12" i="1"/>
  <c r="AS12" i="1"/>
  <c r="AI12" i="1"/>
  <c r="AJ12" i="1"/>
  <c r="AY11" i="1"/>
  <c r="AS11" i="1"/>
  <c r="AI11" i="1"/>
  <c r="AJ11" i="1" s="1"/>
  <c r="AY10" i="1"/>
  <c r="AS10" i="1"/>
  <c r="AI10" i="1"/>
  <c r="AJ10" i="1"/>
  <c r="AY9" i="1"/>
  <c r="AS9" i="1"/>
  <c r="AI9" i="1"/>
  <c r="AJ9" i="1" s="1"/>
  <c r="AY8" i="1"/>
  <c r="AS8" i="1"/>
  <c r="AI8" i="1"/>
  <c r="AJ8" i="1"/>
  <c r="AY7" i="1"/>
  <c r="AS7" i="1"/>
  <c r="AI7" i="1"/>
  <c r="AJ7" i="1" s="1"/>
  <c r="AY6" i="1"/>
  <c r="AS6" i="1"/>
  <c r="AI6" i="1"/>
  <c r="AJ6" i="1"/>
  <c r="AY5" i="1"/>
  <c r="AS5" i="1"/>
  <c r="AI5" i="1"/>
  <c r="AJ5" i="1" s="1"/>
  <c r="AY4" i="1"/>
  <c r="AY1048566" i="1" s="1"/>
  <c r="AS4" i="1"/>
  <c r="AI4" i="1"/>
  <c r="AJ4" i="1" s="1"/>
</calcChain>
</file>

<file path=xl/sharedStrings.xml><?xml version="1.0" encoding="utf-8"?>
<sst xmlns="http://schemas.openxmlformats.org/spreadsheetml/2006/main" count="1275" uniqueCount="172">
  <si>
    <t>Name</t>
  </si>
  <si>
    <t>Trainer Name</t>
  </si>
  <si>
    <t>Project Name</t>
  </si>
  <si>
    <t>Functionality of the Application</t>
  </si>
  <si>
    <t>Check if the functionality of the application is met as per the use case given</t>
  </si>
  <si>
    <t xml:space="preserve">Domain Driven Design to be followed with separate projects for the following
1. API
2. Domain
3. Services
4. Infrastructure
</t>
  </si>
  <si>
    <t>Solution Structure - Java, Springboot</t>
  </si>
  <si>
    <t>Programming Language Java</t>
  </si>
  <si>
    <t>Check if appropriate Base class Libraries, Control Statements and Operators, File Handling and I/O Operations for implementing the functionalities are used</t>
  </si>
  <si>
    <t>Spring Data JPA</t>
  </si>
  <si>
    <t>Maven Build</t>
  </si>
  <si>
    <t>Check for the maven configuration, both in parent and submodules (if any)</t>
  </si>
  <si>
    <t>Check if HTTP GET/PUT/POST request method designators for the business methods which is to be exposed</t>
  </si>
  <si>
    <t>Check if  customized request and response formats</t>
  </si>
  <si>
    <t>Check if  RETURN CODES based on the service outcome</t>
  </si>
  <si>
    <t>Check how the API versioning  is done to manage changes in the API without affecting the client that are using the existing API. It can be via URI, Query String, Custom Header or AcceptHeader</t>
  </si>
  <si>
    <t>API Versioning</t>
  </si>
  <si>
    <t>Swagger Usage</t>
  </si>
  <si>
    <t>Use Swagger and check the functionality of API with custom inputs</t>
  </si>
  <si>
    <t>Authentication</t>
  </si>
  <si>
    <t>User Access Security Service</t>
  </si>
  <si>
    <t>Check whether the CRUD operations have authorization logic (only specific role users can use services) Authorization can be done via Oauth/JWT or any other programming technique</t>
  </si>
  <si>
    <t>Logging</t>
  </si>
  <si>
    <t>Check for the usage of logger to log critical actions in the app.</t>
  </si>
  <si>
    <t>Coding standards</t>
  </si>
  <si>
    <t>Check for naming conventions, Layout conventions, commenting conventions, proper usage of datatypes and use of proper try-catch blocks</t>
  </si>
  <si>
    <t>GIT Code Commit</t>
  </si>
  <si>
    <t>The code should be managed in GIT. Check whether the participant created a feature branch for code change and later merged that with master branch. Also check how the merge conflicts were handled</t>
  </si>
  <si>
    <t>HTML5 and CSS3</t>
  </si>
  <si>
    <t>Bootstrap</t>
  </si>
  <si>
    <t>Implement responsive landing pages using Bootstrap</t>
  </si>
  <si>
    <t>Participant should have used HTM5 and CSS3 for styling the components
Implement responsive images and icons of HTML5
Use advanced CSS features
Create forms and fonts for your website</t>
  </si>
  <si>
    <r>
      <t xml:space="preserve">REST API - </t>
    </r>
    <r>
      <rPr>
        <b/>
        <sz val="10"/>
        <color theme="1"/>
        <rFont val="Calibri"/>
        <family val="2"/>
        <scheme val="minor"/>
      </rPr>
      <t>HTTP GET/PUT/POST request method designators for the business methods which is to be exposed</t>
    </r>
  </si>
  <si>
    <r>
      <t xml:space="preserve">REST API - </t>
    </r>
    <r>
      <rPr>
        <b/>
        <sz val="10"/>
        <color theme="1"/>
        <rFont val="Calibri"/>
        <family val="2"/>
        <scheme val="minor"/>
      </rPr>
      <t>customized request and response formats</t>
    </r>
  </si>
  <si>
    <r>
      <t xml:space="preserve">REST API - </t>
    </r>
    <r>
      <rPr>
        <b/>
        <sz val="10"/>
        <color theme="1"/>
        <rFont val="Calibri"/>
        <family val="2"/>
        <scheme val="minor"/>
      </rPr>
      <t>RETURN CODES based on the service outcome</t>
    </r>
  </si>
  <si>
    <t>JavaScript or Typescript</t>
  </si>
  <si>
    <t>Spring Boot</t>
  </si>
  <si>
    <t>Develop RESTful web services with Spring Boot
Make BEST USE of Spring Boot Actuator and Spring Boot Developer Tools
Externalize application configuration using Spring Boot Profiles and Dynamic Configuration</t>
  </si>
  <si>
    <t>Perform CRUD operations against a in memory db using Spring Data JPA    
Perform CRUD operations against Database    
Expose out REST APIs using Spring Web   
Spring boot auto configures a spring project    
Enable health metrics for the application</t>
  </si>
  <si>
    <t>Core Concepts, Development Setup,File Structure, CLI Commands,Components,Router,databinding.                                                                                          Forms,validation,Module</t>
  </si>
  <si>
    <t>OOP, Data type, Control statements, Arrays, Strings,  I/O, Collections, Generics, Exception handling, Multithreading , Java 8 Features(streams, lamdba, functional interfaces, and so on)</t>
  </si>
  <si>
    <t>Amazon Web Services</t>
  </si>
  <si>
    <t xml:space="preserve">Amazon CodeCommit
AWS CodeBuild </t>
  </si>
  <si>
    <t>React forms</t>
  </si>
  <si>
    <t>React Module</t>
  </si>
  <si>
    <t xml:space="preserve">Check  modules implemented in the application                                                                                                                                                        Verify the usage of React Built-in Modules
Check updation in the  Root Module
Verify @NgModule Properties
</t>
  </si>
  <si>
    <t>React</t>
  </si>
  <si>
    <t>Not Done</t>
  </si>
  <si>
    <t>20% Done</t>
  </si>
  <si>
    <t>40% Done</t>
  </si>
  <si>
    <t>60% Done</t>
  </si>
  <si>
    <t>80% Done</t>
  </si>
  <si>
    <t>100% Done</t>
  </si>
  <si>
    <t>No Knowledge</t>
  </si>
  <si>
    <t>Poor</t>
  </si>
  <si>
    <t>Fair</t>
  </si>
  <si>
    <t>Good</t>
  </si>
  <si>
    <t>Very Good</t>
  </si>
  <si>
    <t>Excellent</t>
  </si>
  <si>
    <t>Project Demo Marks Allocation:</t>
  </si>
  <si>
    <t>HTML5, CSS3</t>
  </si>
  <si>
    <t>Skill</t>
  </si>
  <si>
    <t>What to check?</t>
  </si>
  <si>
    <t>Java</t>
  </si>
  <si>
    <t>Maven</t>
  </si>
  <si>
    <t>Swagger</t>
  </si>
  <si>
    <t>SpringBoot</t>
  </si>
  <si>
    <t>REST API</t>
  </si>
  <si>
    <t>Check if proper Authentication is implemented</t>
  </si>
  <si>
    <t>Project Evaluation Parameter</t>
  </si>
  <si>
    <t>Unit Testing</t>
  </si>
  <si>
    <t>Check if Unit Test Project is implemented for testing the API</t>
  </si>
  <si>
    <t>Questions on</t>
  </si>
  <si>
    <t>Technical Discussion Parameters</t>
  </si>
  <si>
    <t>Good To Have Implementation</t>
  </si>
  <si>
    <t xml:space="preserve">SonarQube report </t>
  </si>
  <si>
    <t xml:space="preserve">Moq framework </t>
  </si>
  <si>
    <t xml:space="preserve">Docker </t>
  </si>
  <si>
    <t>OAuth Security</t>
  </si>
  <si>
    <t>Deploy the docker image in AWS EC2 or Azure VM</t>
  </si>
  <si>
    <t>AWS/Azure CI/CD pipeline</t>
  </si>
  <si>
    <t>Use AWS RDS or Azure SQL DB to store the data</t>
  </si>
  <si>
    <t>Project Final Score in %
(Autofilled)</t>
  </si>
  <si>
    <t>**Project Demo Marks Allocation:
Not Done - 0 mark; 20% done - 1 mark; 40% done - 2 marks; 60 % done - 3 marks; 80% done - 4marks; 100 % done- - 5 marks</t>
  </si>
  <si>
    <t>*Viva Voce Marks Allocation: Poor - 1 mark; Fair - 2 marks; Good - 3 marks; Very Good - 4 marks; Excellent - 5 marks</t>
  </si>
  <si>
    <t xml:space="preserve">Core Java </t>
  </si>
  <si>
    <t>PLSQL</t>
  </si>
  <si>
    <t>Joins &amp; subqueries
DDL, DML, DCL Query and Operations, Clauses, Aggregate Functions, String Functions, GROUP BY, Having, Rank Functions, Stored Procedures, Triggers
Cursors, View</t>
  </si>
  <si>
    <t>Dependency injection, Profiles, Configuration properties, Auto configuration, Error and exception handling, HTTP request methods and status codes, content negotiation, REST Template, Acutators</t>
  </si>
  <si>
    <t>Spring Boot and REST API</t>
  </si>
  <si>
    <t>Technical Discussion ((To Be Filled By Evaluator)</t>
  </si>
  <si>
    <t>Technical Discussion Final Score in %
(Autofilled)</t>
  </si>
  <si>
    <t>Evaluator overall Comments/Feedback</t>
  </si>
  <si>
    <t>Status</t>
  </si>
  <si>
    <t>Project Evaluation (To Be Filled By Evaluator)</t>
  </si>
  <si>
    <t>REST API - HTTP GET/PUT/POST request method designators for the business methods which is to be exposed</t>
  </si>
  <si>
    <t>REST API - customized request and response formats</t>
  </si>
  <si>
    <t>REST API - RETURN CODES based on the service outcome</t>
  </si>
  <si>
    <t>Evaluation of good to have features (To Be Filled By Evaluator)</t>
  </si>
  <si>
    <t>Good to have features Final Score in %
(Autofilled)</t>
  </si>
  <si>
    <t>Implementation of Good to have features</t>
  </si>
  <si>
    <t xml:space="preserve">React File Structure </t>
  </si>
  <si>
    <t>Check whether required initial development setup is completed -dependencies and  Packages updated, Configured the Build,usage of React CLI commands                                                                                                                                                           Check if the Standard File structure is followed. 
Grouping by features or routes or Grouping by file type</t>
  </si>
  <si>
    <t>React - Validations</t>
  </si>
  <si>
    <t xml:space="preserve">Check if  appropriate input/Form Validations implemented                                                                                                                                  Implement  Error boundaries                                                                                                                                                                                  Conditional Rendering implementation using conditional operators.Ex-Usage If-Else,looping Syntax, regular expression,  custom validation implemented based on the requirement       </t>
  </si>
  <si>
    <t>ES6</t>
  </si>
  <si>
    <t>Check for  ES6 feature usage in the application.                                                                                                                                                                        Usage of JSX in Embedding Expressions, Nested Elements and for Styling                                                                                                                       Usage or understanding over ES6 features, template literals,arrow functions, destructuring, rest and spread operators</t>
  </si>
  <si>
    <t>Usage of  icons/REACT CSS/Internationization</t>
  </si>
  <si>
    <t xml:space="preserve">Check if the icons,favicons,images are used in the application,Check if the React CSS styling,themes,utilies are used to improve the UI presentations.                                                                                                                                                                                                                                 Check if framework specific  UI Utilies -Animations,Transitions etc are implemented[Optional]                                                                                                                                                                                           Check if the internationalization is used based on the requirement                                                                                                                                                                                                                                 </t>
  </si>
  <si>
    <t xml:space="preserve">Check Forms created and verify required features developed based on the case study-
-Binding Input Fields
-Handling Multiple Inputs ,Controlled Components,usage of tags
-Form Submit handling
-Authentication/Authorization implementations based on the requirement
-Getting/setting Form Values  and Form validation                                                                   </t>
  </si>
  <si>
    <t>Components and Props, Event Handling</t>
  </si>
  <si>
    <t xml:space="preserve">Check whether associate has configured and developed new Components,Rendering a Component.                                                                                                                                                                                                                                                                 Check for React props implementation. functional based component implementation instead of class based.     
Check for the Handling events with React elements                                                                                                                                            Verify Passing Arguments to Event Handlers,event binding implementations  
                                                                                                                                                                                                                         </t>
  </si>
  <si>
    <t>React databinding, Router</t>
  </si>
  <si>
    <t xml:space="preserve">Verify databinding implemented in the application.                                                                                                                                                Check for the implementation of databinding  functionalities like                                                                                                                       -Binding Events 
-Firing Event from a Component
-Two-Way Binding of Input Fields
-Input Binding 
Check if  the router or navigators are  designed and developed.                                                                                                                  Check the transition from one component to another,parameter passed or fetched from another component.                                                                                                                      Check implementation of Navigation Using Links or Buttons  ,Implement Lazy loading for react components </t>
  </si>
  <si>
    <t>JavaScript
Participant must have used JavaScript Operators, Variables, Databinding, Classes and Objects,  Functions, Error Handling
Participant must have Used External and Custom JavaScript
TypeScript
Check for the usage of the Typescript Operators, Variables, Data types,Databinding,Directives,usage of Typescript or ui framework specific directives, CLI commands. 
Handling  Interface Constraints,Namespaces and Modules       
Typescript Features required  for Single Page Application(SPA) application</t>
  </si>
  <si>
    <t>Email ID</t>
  </si>
  <si>
    <t>Angular</t>
  </si>
  <si>
    <t>S. No.</t>
  </si>
  <si>
    <t>Candidate Details (To Be Filled By Co-Ordinator)</t>
  </si>
  <si>
    <t>Superset ID</t>
  </si>
  <si>
    <t>Sprint 1 
Comments/Feedback</t>
  </si>
  <si>
    <t>Sprint 2
Comments/Feedback</t>
  </si>
  <si>
    <t>Sprint 3
Comments/Feedback</t>
  </si>
  <si>
    <t>Sprint 4
Comments/Feedback</t>
  </si>
  <si>
    <t>Sprint 5
Comments/Feedback</t>
  </si>
  <si>
    <t>Sprint 6
Comments/Feedback</t>
  </si>
  <si>
    <t>Performed Good on the below -
1. 
2. 
3
Areas of Improvement -
1.
2.</t>
  </si>
  <si>
    <t>Not Implemeted</t>
  </si>
  <si>
    <t>Not Answered</t>
  </si>
  <si>
    <t>Performed Good on the below -
1.
2.
3
Areas of Improvement -
1.
2.</t>
  </si>
  <si>
    <t>Java &amp; React Feb 2026 - Project Evaluation</t>
  </si>
  <si>
    <t>KAILASH PANDIAN S</t>
  </si>
  <si>
    <t>pandiankailash9@gmail.com</t>
  </si>
  <si>
    <t>Sam Arlin Jeffry H</t>
  </si>
  <si>
    <t>samarlinjeffry726@gmail.com</t>
  </si>
  <si>
    <t>SAJEETHA S</t>
  </si>
  <si>
    <t>itzsajeetha@gmail.com</t>
  </si>
  <si>
    <t>Vinotha M</t>
  </si>
  <si>
    <t>vinokamalam@gmail.com</t>
  </si>
  <si>
    <t>PADMAHARISH AKSHAYARAM S</t>
  </si>
  <si>
    <t>akshayaram222004@gmail.com</t>
  </si>
  <si>
    <t>Vijayavarshini J</t>
  </si>
  <si>
    <t>vijayavarshinij2404@gmail.com</t>
  </si>
  <si>
    <t>Daghumati poojitha</t>
  </si>
  <si>
    <t>poojithareddy635@gmail.com</t>
  </si>
  <si>
    <t>B Naveen Kumar</t>
  </si>
  <si>
    <t>naveenk99680@gmail.com</t>
  </si>
  <si>
    <t>Kirupa V</t>
  </si>
  <si>
    <t>kirupavaikundam@gmail.com</t>
  </si>
  <si>
    <t>Snowin Cafasso</t>
  </si>
  <si>
    <t>snowincafasso565@gmail.com</t>
  </si>
  <si>
    <t>Varun T</t>
  </si>
  <si>
    <t>varunxig@gmail.com</t>
  </si>
  <si>
    <t>Shakira B</t>
  </si>
  <si>
    <t>vb.shakira@gmail.com</t>
  </si>
  <si>
    <t>Lingeeshwar TS</t>
  </si>
  <si>
    <t>lingeeshdharnesh@gmail.com</t>
  </si>
  <si>
    <t>Geetha Lekshmi P S</t>
  </si>
  <si>
    <t>psgeethalekshmi3010@gmail.com</t>
  </si>
  <si>
    <t>T Durga Devi</t>
  </si>
  <si>
    <t>durgadevitsrsdd@gmail.com</t>
  </si>
  <si>
    <t>Sivahari G</t>
  </si>
  <si>
    <t>sivagovind005@gmail.com</t>
  </si>
  <si>
    <t>MADESH C</t>
  </si>
  <si>
    <t>madeshcanniappin@gmail.com</t>
  </si>
  <si>
    <t>Raju Sha S</t>
  </si>
  <si>
    <t>nethuraju5@gmail.com</t>
  </si>
  <si>
    <t>Thirksha</t>
  </si>
  <si>
    <t>thirksha1610@gmail.com</t>
  </si>
  <si>
    <t>Adesh</t>
  </si>
  <si>
    <t>adeshabin112233@gmail.com</t>
  </si>
  <si>
    <t>Prasanna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</si>
</sst>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0"/>
      <name val="Calibri"/>
      <family val="2"/>
      <scheme val="minor"/>
    </font>
    <font>
      <b/>
      <sz val="11"/>
      <color theme="1"/>
      <name val="Calibri"/>
      <family val="2"/>
      <scheme val="minor"/>
    </font>
    <font>
      <sz val="10"/>
      <color indexed="8"/>
      <name val="Arial"/>
      <family val="2"/>
      <charset val="1"/>
    </font>
    <font>
      <sz val="10"/>
      <color theme="1"/>
      <name val="Calibri"/>
      <family val="2"/>
      <scheme val="minor"/>
    </font>
    <font>
      <b/>
      <sz val="10"/>
      <color theme="1"/>
      <name val="Calibri"/>
      <family val="2"/>
      <scheme val="minor"/>
    </font>
    <font>
      <b/>
      <sz val="10"/>
      <color theme="0"/>
      <name val="Calibri"/>
      <family val="2"/>
      <scheme val="minor"/>
    </font>
    <font>
      <sz val="11"/>
      <color theme="1"/>
      <name val="Aptos"/>
      <family val="2"/>
    </font>
    <font>
      <sz val="11"/>
      <color theme="1"/>
      <name val="Calibri"/>
      <family val="2"/>
      <scheme val="minor"/>
    </font>
    <font>
      <b/>
      <sz val="11"/>
      <color indexed="8"/>
      <name val="Calibri"/>
      <family val="2"/>
      <scheme val="minor"/>
    </font>
    <font>
      <u/>
      <sz val="11"/>
      <color theme="10"/>
      <name val="Calibri"/>
      <family val="2"/>
      <scheme val="minor"/>
    </font>
    <font>
      <sz val="11"/>
      <color rgb="FF000000"/>
      <name val="Calibri"/>
      <family val="2"/>
    </font>
    <font>
      <u/>
      <sz val="11"/>
      <color theme="10"/>
      <name val="Calibri"/>
      <family val="2"/>
    </font>
  </fonts>
  <fills count="14">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theme="2"/>
        <bgColor indexed="64"/>
      </patternFill>
    </fill>
    <fill>
      <patternFill patternType="solid">
        <fgColor theme="9" tint="0.59999389629810485"/>
        <bgColor indexed="64"/>
      </patternFill>
    </fill>
    <fill>
      <patternFill patternType="solid">
        <fgColor theme="8" tint="-0.499984740745262"/>
        <bgColor indexed="64"/>
      </patternFill>
    </fill>
    <fill>
      <patternFill patternType="solid">
        <fgColor theme="8" tint="-0.249977111117893"/>
        <bgColor indexed="64"/>
      </patternFill>
    </fill>
    <fill>
      <patternFill patternType="solid">
        <fgColor theme="7"/>
        <bgColor indexed="64"/>
      </patternFill>
    </fill>
    <fill>
      <patternFill patternType="solid">
        <fgColor theme="9"/>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0" fontId="3" fillId="0" borderId="0"/>
    <xf numFmtId="0" fontId="10" fillId="0" borderId="0" applyNumberFormat="0" applyFill="0" applyBorder="0" applyAlignment="0" applyProtection="0"/>
  </cellStyleXfs>
  <cellXfs count="56">
    <xf numFmtId="0" fontId="0" fillId="0" borderId="0" xfId="0"/>
    <xf numFmtId="0" fontId="4" fillId="0" borderId="0" xfId="0" applyFont="1"/>
    <xf numFmtId="0" fontId="4" fillId="0" borderId="1" xfId="0" applyFont="1" applyBorder="1" applyAlignment="1">
      <alignment vertical="top"/>
    </xf>
    <xf numFmtId="0" fontId="4" fillId="0" borderId="1" xfId="0" applyFont="1" applyBorder="1" applyAlignment="1">
      <alignment vertical="top" wrapText="1"/>
    </xf>
    <xf numFmtId="0" fontId="4" fillId="0" borderId="1" xfId="0" applyFont="1" applyBorder="1"/>
    <xf numFmtId="0" fontId="0" fillId="4" borderId="1" xfId="0" applyFill="1" applyBorder="1"/>
    <xf numFmtId="9" fontId="0" fillId="4" borderId="1" xfId="0" applyNumberFormat="1" applyFill="1" applyBorder="1"/>
    <xf numFmtId="0" fontId="6" fillId="6" borderId="1" xfId="0" applyFont="1" applyFill="1" applyBorder="1" applyAlignment="1">
      <alignment vertical="top"/>
    </xf>
    <xf numFmtId="0" fontId="6" fillId="6" borderId="1" xfId="0" applyFont="1" applyFill="1" applyBorder="1" applyAlignment="1">
      <alignment horizontal="left" vertical="top" wrapText="1"/>
    </xf>
    <xf numFmtId="0" fontId="6" fillId="6" borderId="1" xfId="0" applyFont="1" applyFill="1" applyBorder="1"/>
    <xf numFmtId="0" fontId="1" fillId="6" borderId="1" xfId="0" applyFont="1" applyFill="1" applyBorder="1"/>
    <xf numFmtId="0" fontId="1" fillId="7" borderId="1" xfId="0" applyFont="1" applyFill="1" applyBorder="1"/>
    <xf numFmtId="0" fontId="4" fillId="0" borderId="0" xfId="0" applyFont="1" applyAlignment="1">
      <alignment vertical="top"/>
    </xf>
    <xf numFmtId="0" fontId="4" fillId="0" borderId="0" xfId="0" applyFont="1" applyAlignment="1">
      <alignment vertical="top" wrapText="1"/>
    </xf>
    <xf numFmtId="0" fontId="4" fillId="0" borderId="1" xfId="0" applyFont="1" applyBorder="1" applyAlignment="1">
      <alignment vertical="center"/>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0" fillId="0" borderId="0" xfId="0" applyAlignment="1">
      <alignment horizontal="center" wrapText="1"/>
    </xf>
    <xf numFmtId="0" fontId="0" fillId="0" borderId="0" xfId="0" applyAlignment="1">
      <alignment horizontal="left"/>
    </xf>
    <xf numFmtId="0" fontId="0" fillId="0" borderId="0" xfId="0" applyAlignment="1">
      <alignment horizontal="left" vertical="top"/>
    </xf>
    <xf numFmtId="0" fontId="0" fillId="0" borderId="0" xfId="0" applyAlignment="1">
      <alignment horizontal="center" vertical="center"/>
    </xf>
    <xf numFmtId="0" fontId="2" fillId="8" borderId="1" xfId="0" applyFont="1" applyFill="1" applyBorder="1" applyAlignment="1">
      <alignment horizontal="center" vertical="top" wrapText="1"/>
    </xf>
    <xf numFmtId="0" fontId="7" fillId="0" borderId="0" xfId="0" applyFont="1"/>
    <xf numFmtId="0" fontId="7" fillId="0" borderId="0" xfId="0" applyFont="1" applyAlignment="1">
      <alignment horizontal="center"/>
    </xf>
    <xf numFmtId="0" fontId="7" fillId="0" borderId="0" xfId="0" applyFont="1" applyAlignment="1">
      <alignment horizontal="left" vertical="center"/>
    </xf>
    <xf numFmtId="0" fontId="7" fillId="0" borderId="0" xfId="0" applyFont="1" applyAlignment="1">
      <alignment horizontal="right" vertical="center"/>
    </xf>
    <xf numFmtId="0" fontId="7" fillId="0" borderId="0" xfId="0" applyFont="1" applyAlignment="1">
      <alignment horizontal="left" vertical="top" wrapText="1"/>
    </xf>
    <xf numFmtId="0" fontId="0" fillId="5" borderId="1" xfId="0" applyFill="1" applyBorder="1" applyAlignment="1">
      <alignment horizontal="center" vertical="center" wrapText="1"/>
    </xf>
    <xf numFmtId="0" fontId="0" fillId="3" borderId="1" xfId="0" applyFill="1" applyBorder="1" applyAlignment="1">
      <alignment horizontal="center" vertical="center" wrapText="1"/>
    </xf>
    <xf numFmtId="0" fontId="0" fillId="9" borderId="1" xfId="0" applyFill="1" applyBorder="1" applyAlignment="1">
      <alignment horizontal="center" vertical="center" wrapText="1"/>
    </xf>
    <xf numFmtId="0" fontId="0" fillId="12" borderId="1" xfId="0" applyFill="1" applyBorder="1" applyAlignment="1">
      <alignment horizontal="center" vertical="center" wrapText="1"/>
    </xf>
    <xf numFmtId="0" fontId="0" fillId="13" borderId="1" xfId="0" applyFill="1" applyBorder="1" applyAlignment="1">
      <alignment horizontal="center" vertical="center" wrapText="1"/>
    </xf>
    <xf numFmtId="0" fontId="0" fillId="8" borderId="1" xfId="0" applyFill="1" applyBorder="1" applyAlignment="1">
      <alignment horizontal="center" vertical="center" wrapText="1"/>
    </xf>
    <xf numFmtId="0" fontId="0" fillId="0" borderId="1" xfId="0" applyBorder="1"/>
    <xf numFmtId="0" fontId="0" fillId="0" borderId="0" xfId="0" applyAlignment="1">
      <alignment horizontal="center"/>
    </xf>
    <xf numFmtId="0" fontId="0" fillId="0" borderId="0" xfId="0" applyAlignment="1">
      <alignment horizontal="left" vertical="center"/>
    </xf>
    <xf numFmtId="0" fontId="0" fillId="0" borderId="0" xfId="0" applyAlignment="1">
      <alignment horizontal="right" vertical="center"/>
    </xf>
    <xf numFmtId="0" fontId="0" fillId="0" borderId="0" xfId="0" applyAlignment="1">
      <alignment horizontal="left" vertical="top" wrapText="1"/>
    </xf>
    <xf numFmtId="0" fontId="9" fillId="0" borderId="1" xfId="1" applyFont="1" applyBorder="1" applyAlignment="1">
      <alignment horizontal="center" vertical="center" wrapText="1"/>
    </xf>
    <xf numFmtId="0" fontId="0" fillId="0" borderId="1" xfId="0" applyBorder="1" applyAlignment="1">
      <alignment horizontal="center"/>
    </xf>
    <xf numFmtId="0" fontId="11" fillId="0" borderId="1" xfId="0" applyFont="1" applyBorder="1" applyAlignment="1">
      <alignment horizontal="left" vertical="center"/>
    </xf>
    <xf numFmtId="0" fontId="8" fillId="0" borderId="1" xfId="0" applyFont="1" applyBorder="1" applyAlignment="1">
      <alignment horizontal="center" vertical="center"/>
    </xf>
    <xf numFmtId="0" fontId="8" fillId="0" borderId="1" xfId="0" applyFont="1" applyBorder="1"/>
    <xf numFmtId="0" fontId="12" fillId="0" borderId="1" xfId="2" applyFont="1" applyBorder="1" applyAlignment="1">
      <alignment horizontal="left" vertical="center"/>
    </xf>
    <xf numFmtId="0" fontId="0" fillId="10" borderId="1" xfId="0" applyFill="1" applyBorder="1" applyAlignment="1">
      <alignment horizontal="right" vertical="center" wrapText="1"/>
    </xf>
    <xf numFmtId="0" fontId="2" fillId="10" borderId="1" xfId="0" applyFont="1" applyFill="1" applyBorder="1" applyAlignment="1">
      <alignment horizontal="right" vertical="center"/>
    </xf>
    <xf numFmtId="0" fontId="0" fillId="0" borderId="1" xfId="0" applyBorder="1" applyAlignment="1">
      <alignment horizontal="center" vertical="center" wrapText="1"/>
    </xf>
    <xf numFmtId="0" fontId="0" fillId="0" borderId="1" xfId="0" applyBorder="1" applyAlignment="1">
      <alignment horizontal="right"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0" fillId="11" borderId="1" xfId="0" applyFill="1" applyBorder="1" applyAlignment="1">
      <alignment horizontal="right" vertical="center" wrapText="1"/>
    </xf>
    <xf numFmtId="0" fontId="2" fillId="11" borderId="1" xfId="0" applyFont="1" applyFill="1" applyBorder="1" applyAlignment="1">
      <alignment horizontal="right" vertical="center" wrapText="1"/>
    </xf>
    <xf numFmtId="0" fontId="0" fillId="2" borderId="1" xfId="0" applyFill="1" applyBorder="1" applyAlignment="1">
      <alignment vertical="center" wrapText="1"/>
    </xf>
    <xf numFmtId="0" fontId="2" fillId="2" borderId="1" xfId="0" applyFont="1" applyFill="1" applyBorder="1" applyAlignment="1">
      <alignment vertical="center" wrapText="1"/>
    </xf>
    <xf numFmtId="0" fontId="1" fillId="7" borderId="2" xfId="0" applyFont="1" applyFill="1" applyBorder="1" applyAlignment="1">
      <alignment horizontal="center"/>
    </xf>
    <xf numFmtId="0" fontId="1" fillId="7" borderId="3" xfId="0" applyFont="1" applyFill="1" applyBorder="1" applyAlignment="1">
      <alignment horizontal="center"/>
    </xf>
  </cellXfs>
  <cellStyles count="3">
    <cellStyle name="Excel Built-in Normal" xfId="1" xr:uid="{EC8C4700-8212-4E37-928A-0EB0E82C78BA}"/>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naveenk99680@gmail.com" TargetMode="External"/><Relationship Id="rId13" Type="http://schemas.openxmlformats.org/officeDocument/2006/relationships/hyperlink" Target="mailto:lingeeshdharnesh@gmail.com" TargetMode="External"/><Relationship Id="rId18" Type="http://schemas.openxmlformats.org/officeDocument/2006/relationships/hyperlink" Target="mailto:nethuraju5@gmail.com" TargetMode="External"/><Relationship Id="rId3" Type="http://schemas.openxmlformats.org/officeDocument/2006/relationships/hyperlink" Target="mailto:itzsajeetha@gmail.com" TargetMode="External"/><Relationship Id="rId21" Type="http://schemas.openxmlformats.org/officeDocument/2006/relationships/printerSettings" Target="../printerSettings/printerSettings2.bin"/><Relationship Id="rId7" Type="http://schemas.openxmlformats.org/officeDocument/2006/relationships/hyperlink" Target="mailto:poojithareddy635@gmail.com" TargetMode="External"/><Relationship Id="rId12" Type="http://schemas.openxmlformats.org/officeDocument/2006/relationships/hyperlink" Target="mailto:vb.shakira@gmail.com" TargetMode="External"/><Relationship Id="rId17" Type="http://schemas.openxmlformats.org/officeDocument/2006/relationships/hyperlink" Target="mailto:madeshcanniappin@gmail.com" TargetMode="External"/><Relationship Id="rId2" Type="http://schemas.openxmlformats.org/officeDocument/2006/relationships/hyperlink" Target="mailto:samarlinjeffry726@gmail.com" TargetMode="External"/><Relationship Id="rId16" Type="http://schemas.openxmlformats.org/officeDocument/2006/relationships/hyperlink" Target="mailto:sivagovind005@gmail.com" TargetMode="External"/><Relationship Id="rId20" Type="http://schemas.openxmlformats.org/officeDocument/2006/relationships/hyperlink" Target="mailto:adeshabin112233@gmail.com" TargetMode="External"/><Relationship Id="rId1" Type="http://schemas.openxmlformats.org/officeDocument/2006/relationships/hyperlink" Target="mailto:pandiankailash9@gmail.com" TargetMode="External"/><Relationship Id="rId6" Type="http://schemas.openxmlformats.org/officeDocument/2006/relationships/hyperlink" Target="mailto:vijayavarshinij2404@gmail.com" TargetMode="External"/><Relationship Id="rId11" Type="http://schemas.openxmlformats.org/officeDocument/2006/relationships/hyperlink" Target="mailto:varunxig@gmail.com" TargetMode="External"/><Relationship Id="rId5" Type="http://schemas.openxmlformats.org/officeDocument/2006/relationships/hyperlink" Target="mailto:akshayaram222004@gmail.com" TargetMode="External"/><Relationship Id="rId15" Type="http://schemas.openxmlformats.org/officeDocument/2006/relationships/hyperlink" Target="mailto:durgadevitsrsdd@gmail.com" TargetMode="External"/><Relationship Id="rId10" Type="http://schemas.openxmlformats.org/officeDocument/2006/relationships/hyperlink" Target="mailto:snowincafasso565@gmail.com" TargetMode="External"/><Relationship Id="rId19" Type="http://schemas.openxmlformats.org/officeDocument/2006/relationships/hyperlink" Target="mailto:thirksha1610@gmail.com" TargetMode="External"/><Relationship Id="rId4" Type="http://schemas.openxmlformats.org/officeDocument/2006/relationships/hyperlink" Target="mailto:vinokamalam@gmail.com" TargetMode="External"/><Relationship Id="rId9" Type="http://schemas.openxmlformats.org/officeDocument/2006/relationships/hyperlink" Target="mailto:kirupavaikundam@gmail.com" TargetMode="External"/><Relationship Id="rId14" Type="http://schemas.openxmlformats.org/officeDocument/2006/relationships/hyperlink" Target="mailto:psgeethalekshmi3010@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naveenk99680@gmail.com" TargetMode="External"/><Relationship Id="rId13" Type="http://schemas.openxmlformats.org/officeDocument/2006/relationships/hyperlink" Target="mailto:lingeeshdharnesh@gmail.com" TargetMode="External"/><Relationship Id="rId18" Type="http://schemas.openxmlformats.org/officeDocument/2006/relationships/hyperlink" Target="mailto:nethuraju5@gmail.com" TargetMode="External"/><Relationship Id="rId3" Type="http://schemas.openxmlformats.org/officeDocument/2006/relationships/hyperlink" Target="mailto:itzsajeetha@gmail.com" TargetMode="External"/><Relationship Id="rId21" Type="http://schemas.openxmlformats.org/officeDocument/2006/relationships/printerSettings" Target="../printerSettings/printerSettings3.bin"/><Relationship Id="rId7" Type="http://schemas.openxmlformats.org/officeDocument/2006/relationships/hyperlink" Target="mailto:poojithareddy635@gmail.com" TargetMode="External"/><Relationship Id="rId12" Type="http://schemas.openxmlformats.org/officeDocument/2006/relationships/hyperlink" Target="mailto:vb.shakira@gmail.com" TargetMode="External"/><Relationship Id="rId17" Type="http://schemas.openxmlformats.org/officeDocument/2006/relationships/hyperlink" Target="mailto:madeshcanniappin@gmail.com" TargetMode="External"/><Relationship Id="rId2" Type="http://schemas.openxmlformats.org/officeDocument/2006/relationships/hyperlink" Target="mailto:samarlinjeffry726@gmail.com" TargetMode="External"/><Relationship Id="rId16" Type="http://schemas.openxmlformats.org/officeDocument/2006/relationships/hyperlink" Target="mailto:sivagovind005@gmail.com" TargetMode="External"/><Relationship Id="rId20" Type="http://schemas.openxmlformats.org/officeDocument/2006/relationships/hyperlink" Target="mailto:adeshabin112233@gmail.com" TargetMode="External"/><Relationship Id="rId1" Type="http://schemas.openxmlformats.org/officeDocument/2006/relationships/hyperlink" Target="mailto:pandiankailash9@gmail.com" TargetMode="External"/><Relationship Id="rId6" Type="http://schemas.openxmlformats.org/officeDocument/2006/relationships/hyperlink" Target="mailto:vijayavarshinij2404@gmail.com" TargetMode="External"/><Relationship Id="rId11" Type="http://schemas.openxmlformats.org/officeDocument/2006/relationships/hyperlink" Target="mailto:varunxig@gmail.com" TargetMode="External"/><Relationship Id="rId5" Type="http://schemas.openxmlformats.org/officeDocument/2006/relationships/hyperlink" Target="mailto:akshayaram222004@gmail.com" TargetMode="External"/><Relationship Id="rId15" Type="http://schemas.openxmlformats.org/officeDocument/2006/relationships/hyperlink" Target="mailto:durgadevitsrsdd@gmail.com" TargetMode="External"/><Relationship Id="rId10" Type="http://schemas.openxmlformats.org/officeDocument/2006/relationships/hyperlink" Target="mailto:snowincafasso565@gmail.com" TargetMode="External"/><Relationship Id="rId19" Type="http://schemas.openxmlformats.org/officeDocument/2006/relationships/hyperlink" Target="mailto:thirksha1610@gmail.com" TargetMode="External"/><Relationship Id="rId4" Type="http://schemas.openxmlformats.org/officeDocument/2006/relationships/hyperlink" Target="mailto:vinokamalam@gmail.com" TargetMode="External"/><Relationship Id="rId9" Type="http://schemas.openxmlformats.org/officeDocument/2006/relationships/hyperlink" Target="mailto:kirupavaikundam@gmail.com" TargetMode="External"/><Relationship Id="rId14" Type="http://schemas.openxmlformats.org/officeDocument/2006/relationships/hyperlink" Target="mailto:psgeethalekshmi3010@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9DD06-9891-466F-979B-E6EB1237514A}">
  <dimension ref="A1:C49"/>
  <sheetViews>
    <sheetView topLeftCell="A11" workbookViewId="0">
      <selection activeCell="B23" sqref="B23"/>
    </sheetView>
  </sheetViews>
  <sheetFormatPr defaultColWidth="8.5703125" defaultRowHeight="12.75" x14ac:dyDescent="0.2"/>
  <cols>
    <col min="1" max="1" width="26.85546875" style="1" customWidth="1"/>
    <col min="2" max="2" width="41.5703125" style="1" customWidth="1"/>
    <col min="3" max="3" width="70" style="1" customWidth="1"/>
    <col min="4" max="16384" width="8.5703125" style="1"/>
  </cols>
  <sheetData>
    <row r="1" spans="1:3" ht="15" x14ac:dyDescent="0.25">
      <c r="A1" s="54" t="s">
        <v>73</v>
      </c>
      <c r="B1" s="55"/>
      <c r="C1" s="55"/>
    </row>
    <row r="2" spans="1:3" x14ac:dyDescent="0.2">
      <c r="A2" s="9" t="s">
        <v>61</v>
      </c>
      <c r="B2" s="7" t="s">
        <v>69</v>
      </c>
      <c r="C2" s="8" t="s">
        <v>62</v>
      </c>
    </row>
    <row r="3" spans="1:3" x14ac:dyDescent="0.2">
      <c r="A3" s="14" t="s">
        <v>3</v>
      </c>
      <c r="B3" s="14" t="s">
        <v>3</v>
      </c>
      <c r="C3" s="15" t="s">
        <v>4</v>
      </c>
    </row>
    <row r="4" spans="1:3" ht="51" x14ac:dyDescent="0.2">
      <c r="A4" s="14" t="s">
        <v>60</v>
      </c>
      <c r="B4" s="14" t="s">
        <v>28</v>
      </c>
      <c r="C4" s="15" t="s">
        <v>31</v>
      </c>
    </row>
    <row r="5" spans="1:3" ht="140.25" x14ac:dyDescent="0.2">
      <c r="A5" s="14" t="s">
        <v>35</v>
      </c>
      <c r="B5" s="14" t="s">
        <v>35</v>
      </c>
      <c r="C5" s="15" t="s">
        <v>114</v>
      </c>
    </row>
    <row r="6" spans="1:3" x14ac:dyDescent="0.2">
      <c r="A6" s="14" t="s">
        <v>29</v>
      </c>
      <c r="B6" s="14" t="s">
        <v>29</v>
      </c>
      <c r="C6" s="15" t="s">
        <v>30</v>
      </c>
    </row>
    <row r="7" spans="1:3" ht="51" x14ac:dyDescent="0.2">
      <c r="A7" s="14" t="s">
        <v>46</v>
      </c>
      <c r="B7" s="14" t="s">
        <v>101</v>
      </c>
      <c r="C7" s="15" t="s">
        <v>102</v>
      </c>
    </row>
    <row r="8" spans="1:3" ht="89.25" x14ac:dyDescent="0.2">
      <c r="A8" s="14" t="s">
        <v>46</v>
      </c>
      <c r="B8" s="14" t="s">
        <v>110</v>
      </c>
      <c r="C8" s="15" t="s">
        <v>111</v>
      </c>
    </row>
    <row r="9" spans="1:3" ht="140.25" x14ac:dyDescent="0.2">
      <c r="A9" s="14" t="s">
        <v>46</v>
      </c>
      <c r="B9" s="14" t="s">
        <v>112</v>
      </c>
      <c r="C9" s="15" t="s">
        <v>113</v>
      </c>
    </row>
    <row r="10" spans="1:3" ht="76.5" x14ac:dyDescent="0.2">
      <c r="A10" s="14" t="s">
        <v>46</v>
      </c>
      <c r="B10" s="14" t="s">
        <v>43</v>
      </c>
      <c r="C10" s="15" t="s">
        <v>109</v>
      </c>
    </row>
    <row r="11" spans="1:3" ht="63.75" x14ac:dyDescent="0.2">
      <c r="A11" s="14" t="s">
        <v>46</v>
      </c>
      <c r="B11" s="14" t="s">
        <v>44</v>
      </c>
      <c r="C11" s="15" t="s">
        <v>45</v>
      </c>
    </row>
    <row r="12" spans="1:3" ht="63.75" x14ac:dyDescent="0.2">
      <c r="A12" s="14" t="s">
        <v>46</v>
      </c>
      <c r="B12" s="14" t="s">
        <v>107</v>
      </c>
      <c r="C12" s="15" t="s">
        <v>108</v>
      </c>
    </row>
    <row r="13" spans="1:3" ht="63.75" x14ac:dyDescent="0.2">
      <c r="A13" s="14" t="s">
        <v>46</v>
      </c>
      <c r="B13" s="14" t="s">
        <v>103</v>
      </c>
      <c r="C13" s="15" t="s">
        <v>104</v>
      </c>
    </row>
    <row r="14" spans="1:3" ht="51" x14ac:dyDescent="0.2">
      <c r="A14" s="14" t="s">
        <v>46</v>
      </c>
      <c r="B14" s="14" t="s">
        <v>105</v>
      </c>
      <c r="C14" s="15" t="s">
        <v>106</v>
      </c>
    </row>
    <row r="15" spans="1:3" ht="76.5" x14ac:dyDescent="0.2">
      <c r="A15" s="14" t="s">
        <v>63</v>
      </c>
      <c r="B15" s="14" t="s">
        <v>6</v>
      </c>
      <c r="C15" s="15" t="s">
        <v>5</v>
      </c>
    </row>
    <row r="16" spans="1:3" ht="25.5" x14ac:dyDescent="0.2">
      <c r="A16" s="14" t="s">
        <v>63</v>
      </c>
      <c r="B16" s="14" t="s">
        <v>7</v>
      </c>
      <c r="C16" s="15" t="s">
        <v>8</v>
      </c>
    </row>
    <row r="17" spans="1:3" ht="51" x14ac:dyDescent="0.2">
      <c r="A17" s="14" t="s">
        <v>66</v>
      </c>
      <c r="B17" s="14" t="s">
        <v>36</v>
      </c>
      <c r="C17" s="15" t="s">
        <v>37</v>
      </c>
    </row>
    <row r="18" spans="1:3" ht="63.75" x14ac:dyDescent="0.2">
      <c r="A18" s="14" t="s">
        <v>9</v>
      </c>
      <c r="B18" s="14" t="s">
        <v>9</v>
      </c>
      <c r="C18" s="15" t="s">
        <v>38</v>
      </c>
    </row>
    <row r="19" spans="1:3" x14ac:dyDescent="0.2">
      <c r="A19" s="14" t="s">
        <v>64</v>
      </c>
      <c r="B19" s="14" t="s">
        <v>10</v>
      </c>
      <c r="C19" s="16" t="s">
        <v>11</v>
      </c>
    </row>
    <row r="20" spans="1:3" ht="38.25" x14ac:dyDescent="0.2">
      <c r="A20" s="14" t="s">
        <v>67</v>
      </c>
      <c r="B20" s="16" t="s">
        <v>32</v>
      </c>
      <c r="C20" s="16" t="s">
        <v>12</v>
      </c>
    </row>
    <row r="21" spans="1:3" ht="25.5" x14ac:dyDescent="0.2">
      <c r="A21" s="14" t="s">
        <v>67</v>
      </c>
      <c r="B21" s="16" t="s">
        <v>33</v>
      </c>
      <c r="C21" s="16" t="s">
        <v>13</v>
      </c>
    </row>
    <row r="22" spans="1:3" ht="25.5" x14ac:dyDescent="0.2">
      <c r="A22" s="14" t="s">
        <v>67</v>
      </c>
      <c r="B22" s="16" t="s">
        <v>34</v>
      </c>
      <c r="C22" s="16" t="s">
        <v>14</v>
      </c>
    </row>
    <row r="23" spans="1:3" ht="38.25" x14ac:dyDescent="0.2">
      <c r="A23" s="14" t="s">
        <v>67</v>
      </c>
      <c r="B23" s="16" t="s">
        <v>16</v>
      </c>
      <c r="C23" s="16" t="s">
        <v>15</v>
      </c>
    </row>
    <row r="24" spans="1:3" x14ac:dyDescent="0.2">
      <c r="A24" s="14" t="s">
        <v>67</v>
      </c>
      <c r="B24" s="14" t="s">
        <v>19</v>
      </c>
      <c r="C24" s="16" t="s">
        <v>68</v>
      </c>
    </row>
    <row r="25" spans="1:3" ht="38.25" x14ac:dyDescent="0.2">
      <c r="A25" s="14" t="s">
        <v>67</v>
      </c>
      <c r="B25" s="14" t="s">
        <v>20</v>
      </c>
      <c r="C25" s="16" t="s">
        <v>21</v>
      </c>
    </row>
    <row r="26" spans="1:3" x14ac:dyDescent="0.2">
      <c r="A26" s="14" t="s">
        <v>67</v>
      </c>
      <c r="B26" s="14" t="s">
        <v>22</v>
      </c>
      <c r="C26" s="16" t="s">
        <v>23</v>
      </c>
    </row>
    <row r="27" spans="1:3" x14ac:dyDescent="0.2">
      <c r="A27" s="14" t="s">
        <v>65</v>
      </c>
      <c r="B27" s="16" t="s">
        <v>17</v>
      </c>
      <c r="C27" s="16" t="s">
        <v>18</v>
      </c>
    </row>
    <row r="28" spans="1:3" ht="25.5" x14ac:dyDescent="0.2">
      <c r="A28" s="14" t="s">
        <v>24</v>
      </c>
      <c r="B28" s="14" t="s">
        <v>24</v>
      </c>
      <c r="C28" s="16" t="s">
        <v>25</v>
      </c>
    </row>
    <row r="29" spans="1:3" ht="38.25" x14ac:dyDescent="0.2">
      <c r="A29" s="16" t="s">
        <v>26</v>
      </c>
      <c r="B29" s="16" t="s">
        <v>26</v>
      </c>
      <c r="C29" s="16" t="s">
        <v>27</v>
      </c>
    </row>
    <row r="30" spans="1:3" x14ac:dyDescent="0.2">
      <c r="A30" s="14" t="s">
        <v>70</v>
      </c>
      <c r="B30" s="14" t="s">
        <v>70</v>
      </c>
      <c r="C30" s="14" t="s">
        <v>71</v>
      </c>
    </row>
    <row r="32" spans="1:3" ht="15" x14ac:dyDescent="0.25">
      <c r="A32" s="11" t="s">
        <v>74</v>
      </c>
    </row>
    <row r="33" spans="1:2" x14ac:dyDescent="0.2">
      <c r="A33" s="3" t="s">
        <v>75</v>
      </c>
    </row>
    <row r="34" spans="1:2" x14ac:dyDescent="0.2">
      <c r="A34" s="3" t="s">
        <v>76</v>
      </c>
    </row>
    <row r="35" spans="1:2" x14ac:dyDescent="0.2">
      <c r="A35" s="3" t="s">
        <v>77</v>
      </c>
    </row>
    <row r="36" spans="1:2" x14ac:dyDescent="0.2">
      <c r="A36" s="4" t="s">
        <v>78</v>
      </c>
    </row>
    <row r="37" spans="1:2" x14ac:dyDescent="0.2">
      <c r="A37" s="3" t="s">
        <v>22</v>
      </c>
    </row>
    <row r="38" spans="1:2" ht="25.5" x14ac:dyDescent="0.2">
      <c r="A38" s="3" t="s">
        <v>79</v>
      </c>
    </row>
    <row r="39" spans="1:2" x14ac:dyDescent="0.2">
      <c r="A39" s="4" t="s">
        <v>80</v>
      </c>
    </row>
    <row r="40" spans="1:2" ht="25.5" x14ac:dyDescent="0.2">
      <c r="A40" s="3" t="s">
        <v>81</v>
      </c>
    </row>
    <row r="41" spans="1:2" x14ac:dyDescent="0.2">
      <c r="A41" s="12"/>
      <c r="B41" s="13"/>
    </row>
    <row r="43" spans="1:2" ht="15" x14ac:dyDescent="0.25">
      <c r="A43" s="11" t="s">
        <v>73</v>
      </c>
      <c r="B43" s="3"/>
    </row>
    <row r="44" spans="1:2" ht="15" x14ac:dyDescent="0.25">
      <c r="A44" s="10" t="s">
        <v>61</v>
      </c>
      <c r="B44" s="10" t="s">
        <v>72</v>
      </c>
    </row>
    <row r="45" spans="1:2" ht="76.5" x14ac:dyDescent="0.2">
      <c r="A45" s="2" t="s">
        <v>86</v>
      </c>
      <c r="B45" s="3" t="s">
        <v>87</v>
      </c>
    </row>
    <row r="46" spans="1:2" ht="63.75" x14ac:dyDescent="0.2">
      <c r="A46" s="2" t="s">
        <v>85</v>
      </c>
      <c r="B46" s="3" t="s">
        <v>40</v>
      </c>
    </row>
    <row r="47" spans="1:2" ht="63.75" x14ac:dyDescent="0.2">
      <c r="A47" s="2" t="s">
        <v>89</v>
      </c>
      <c r="B47" s="3" t="s">
        <v>88</v>
      </c>
    </row>
    <row r="48" spans="1:2" ht="38.25" x14ac:dyDescent="0.2">
      <c r="A48" s="2" t="s">
        <v>46</v>
      </c>
      <c r="B48" s="3" t="s">
        <v>39</v>
      </c>
    </row>
    <row r="49" spans="1:2" ht="25.5" x14ac:dyDescent="0.2">
      <c r="A49" s="2" t="s">
        <v>41</v>
      </c>
      <c r="B49" s="3" t="s">
        <v>42</v>
      </c>
    </row>
  </sheetData>
  <mergeCells count="1">
    <mergeCell ref="A1:C1"/>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35098-274F-41AE-9E27-417915566C5E}">
  <dimension ref="A1:AZ1048566"/>
  <sheetViews>
    <sheetView showGridLines="0" tabSelected="1" topLeftCell="A6" zoomScaleNormal="100" workbookViewId="0">
      <selection activeCell="C23" sqref="C23"/>
    </sheetView>
  </sheetViews>
  <sheetFormatPr defaultRowHeight="15" x14ac:dyDescent="0.25"/>
  <cols>
    <col min="1" max="1" width="6.140625" style="34" bestFit="1" customWidth="1"/>
    <col min="2" max="2" width="11.140625" style="34" bestFit="1" customWidth="1"/>
    <col min="3" max="3" width="29.140625" style="35" bestFit="1" customWidth="1"/>
    <col min="4" max="4" width="31.85546875" style="35" bestFit="1" customWidth="1"/>
    <col min="5" max="6" width="13.140625" style="34" bestFit="1" customWidth="1"/>
    <col min="7" max="11" width="15.85546875" style="36" bestFit="1" customWidth="1"/>
    <col min="12" max="12" width="16.140625" style="36" bestFit="1" customWidth="1"/>
    <col min="13" max="15" width="15.85546875" style="36" bestFit="1" customWidth="1"/>
    <col min="16" max="16" width="21.42578125" style="36" bestFit="1" customWidth="1"/>
    <col min="17" max="18" width="15.85546875" style="36" bestFit="1" customWidth="1"/>
    <col min="19" max="19" width="17.7109375" style="36" bestFit="1" customWidth="1"/>
    <col min="20" max="23" width="15.85546875" style="36" bestFit="1" customWidth="1"/>
    <col min="24" max="24" width="42.7109375" style="36" bestFit="1" customWidth="1"/>
    <col min="25" max="25" width="20.5703125" style="36" bestFit="1" customWidth="1"/>
    <col min="26" max="26" width="23.85546875" style="36" bestFit="1" customWidth="1"/>
    <col min="27" max="34" width="15.85546875" style="36" bestFit="1" customWidth="1"/>
    <col min="35" max="35" width="19.7109375" style="36" bestFit="1" customWidth="1"/>
    <col min="36" max="36" width="11.5703125" style="34" bestFit="1" customWidth="1"/>
    <col min="37" max="37" width="17" style="36" bestFit="1" customWidth="1"/>
    <col min="38" max="41" width="15.85546875" style="36" bestFit="1" customWidth="1"/>
    <col min="42" max="42" width="19.28515625" style="36" bestFit="1" customWidth="1"/>
    <col min="43" max="43" width="16.7109375" style="36" bestFit="1" customWidth="1"/>
    <col min="44" max="45" width="20.85546875" style="36" bestFit="1" customWidth="1"/>
    <col min="46" max="47" width="13.85546875" style="36" bestFit="1" customWidth="1"/>
    <col min="48" max="48" width="15" style="36" bestFit="1" customWidth="1"/>
    <col min="49" max="50" width="13.85546875" style="36" bestFit="1" customWidth="1"/>
    <col min="51" max="51" width="19.28515625" style="36" bestFit="1" customWidth="1"/>
    <col min="52" max="52" width="66" style="37" bestFit="1" customWidth="1"/>
  </cols>
  <sheetData>
    <row r="1" spans="1:52" ht="37.5" customHeight="1" x14ac:dyDescent="0.25">
      <c r="A1" s="49" t="s">
        <v>130</v>
      </c>
      <c r="B1" s="49"/>
      <c r="C1" s="49"/>
      <c r="D1" s="49"/>
      <c r="E1" s="49"/>
      <c r="F1" s="52" t="s">
        <v>83</v>
      </c>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46"/>
      <c r="AJ1" s="46"/>
      <c r="AK1" s="50" t="s">
        <v>100</v>
      </c>
      <c r="AL1" s="50"/>
      <c r="AM1" s="50"/>
      <c r="AN1" s="50"/>
      <c r="AO1" s="50"/>
      <c r="AP1" s="50"/>
      <c r="AQ1" s="50"/>
      <c r="AR1" s="50"/>
      <c r="AS1" s="47"/>
      <c r="AT1" s="44" t="s">
        <v>84</v>
      </c>
      <c r="AU1" s="44"/>
      <c r="AV1" s="44"/>
      <c r="AW1" s="44"/>
      <c r="AX1" s="44"/>
      <c r="AY1" s="46"/>
      <c r="AZ1" s="46"/>
    </row>
    <row r="2" spans="1:52" ht="15" customHeight="1" x14ac:dyDescent="0.25">
      <c r="A2" s="48" t="s">
        <v>118</v>
      </c>
      <c r="B2" s="48"/>
      <c r="C2" s="48"/>
      <c r="D2" s="48"/>
      <c r="E2" s="48"/>
      <c r="F2" s="53" t="s">
        <v>94</v>
      </c>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46"/>
      <c r="AJ2" s="46"/>
      <c r="AK2" s="51" t="s">
        <v>98</v>
      </c>
      <c r="AL2" s="51"/>
      <c r="AM2" s="51"/>
      <c r="AN2" s="51"/>
      <c r="AO2" s="51"/>
      <c r="AP2" s="51"/>
      <c r="AQ2" s="51"/>
      <c r="AR2" s="51"/>
      <c r="AS2" s="47"/>
      <c r="AT2" s="45" t="s">
        <v>90</v>
      </c>
      <c r="AU2" s="45"/>
      <c r="AV2" s="45"/>
      <c r="AW2" s="45"/>
      <c r="AX2" s="45"/>
      <c r="AY2" s="46"/>
      <c r="AZ2" s="46"/>
    </row>
    <row r="3" spans="1:52" s="17" customFormat="1" ht="45" customHeight="1" x14ac:dyDescent="0.25">
      <c r="A3" s="38" t="s">
        <v>117</v>
      </c>
      <c r="B3" s="38" t="s">
        <v>119</v>
      </c>
      <c r="C3" s="38" t="s">
        <v>0</v>
      </c>
      <c r="D3" s="38" t="s">
        <v>115</v>
      </c>
      <c r="E3" s="38" t="s">
        <v>1</v>
      </c>
      <c r="F3" s="38" t="s">
        <v>2</v>
      </c>
      <c r="G3" s="27" t="s">
        <v>3</v>
      </c>
      <c r="H3" s="27" t="s">
        <v>28</v>
      </c>
      <c r="I3" s="27" t="s">
        <v>35</v>
      </c>
      <c r="J3" s="27" t="s">
        <v>29</v>
      </c>
      <c r="K3" s="27" t="s">
        <v>101</v>
      </c>
      <c r="L3" s="27" t="s">
        <v>110</v>
      </c>
      <c r="M3" s="27" t="s">
        <v>112</v>
      </c>
      <c r="N3" s="27" t="s">
        <v>43</v>
      </c>
      <c r="O3" s="27" t="s">
        <v>44</v>
      </c>
      <c r="P3" s="27" t="s">
        <v>107</v>
      </c>
      <c r="Q3" s="27" t="s">
        <v>103</v>
      </c>
      <c r="R3" s="27" t="s">
        <v>105</v>
      </c>
      <c r="S3" s="27" t="s">
        <v>6</v>
      </c>
      <c r="T3" s="27" t="s">
        <v>7</v>
      </c>
      <c r="U3" s="27" t="s">
        <v>36</v>
      </c>
      <c r="V3" s="27" t="s">
        <v>9</v>
      </c>
      <c r="W3" s="27" t="s">
        <v>10</v>
      </c>
      <c r="X3" s="27" t="s">
        <v>95</v>
      </c>
      <c r="Y3" s="27" t="s">
        <v>96</v>
      </c>
      <c r="Z3" s="27" t="s">
        <v>97</v>
      </c>
      <c r="AA3" s="27" t="s">
        <v>16</v>
      </c>
      <c r="AB3" s="27" t="s">
        <v>19</v>
      </c>
      <c r="AC3" s="27" t="s">
        <v>20</v>
      </c>
      <c r="AD3" s="27" t="s">
        <v>22</v>
      </c>
      <c r="AE3" s="27" t="s">
        <v>17</v>
      </c>
      <c r="AF3" s="27" t="s">
        <v>24</v>
      </c>
      <c r="AG3" s="27" t="s">
        <v>26</v>
      </c>
      <c r="AH3" s="27" t="s">
        <v>70</v>
      </c>
      <c r="AI3" s="28" t="s">
        <v>82</v>
      </c>
      <c r="AJ3" s="29" t="s">
        <v>93</v>
      </c>
      <c r="AK3" s="30" t="s">
        <v>75</v>
      </c>
      <c r="AL3" s="30" t="s">
        <v>76</v>
      </c>
      <c r="AM3" s="30" t="s">
        <v>77</v>
      </c>
      <c r="AN3" s="30" t="s">
        <v>78</v>
      </c>
      <c r="AO3" s="30" t="s">
        <v>22</v>
      </c>
      <c r="AP3" s="30" t="s">
        <v>79</v>
      </c>
      <c r="AQ3" s="30" t="s">
        <v>80</v>
      </c>
      <c r="AR3" s="30" t="s">
        <v>81</v>
      </c>
      <c r="AS3" s="28" t="s">
        <v>99</v>
      </c>
      <c r="AT3" s="31" t="s">
        <v>86</v>
      </c>
      <c r="AU3" s="31" t="s">
        <v>85</v>
      </c>
      <c r="AV3" s="31" t="s">
        <v>89</v>
      </c>
      <c r="AW3" s="31" t="s">
        <v>116</v>
      </c>
      <c r="AX3" s="31" t="s">
        <v>41</v>
      </c>
      <c r="AY3" s="28" t="s">
        <v>91</v>
      </c>
      <c r="AZ3" s="32" t="s">
        <v>92</v>
      </c>
    </row>
    <row r="4" spans="1:52" s="22" customFormat="1" x14ac:dyDescent="0.25">
      <c r="A4" s="39">
        <v>1</v>
      </c>
      <c r="B4" s="40">
        <v>6413395</v>
      </c>
      <c r="C4" s="40" t="s">
        <v>131</v>
      </c>
      <c r="D4" s="43" t="s">
        <v>132</v>
      </c>
      <c r="E4" s="40" t="s">
        <v>171</v>
      </c>
      <c r="F4" s="39"/>
      <c r="G4" s="33" t="s">
        <v>127</v>
      </c>
      <c r="H4" s="33" t="s">
        <v>127</v>
      </c>
      <c r="I4" s="33" t="s">
        <v>127</v>
      </c>
      <c r="J4" s="33" t="s">
        <v>127</v>
      </c>
      <c r="K4" s="33" t="s">
        <v>127</v>
      </c>
      <c r="L4" s="33" t="s">
        <v>127</v>
      </c>
      <c r="M4" s="33" t="s">
        <v>127</v>
      </c>
      <c r="N4" s="33" t="s">
        <v>127</v>
      </c>
      <c r="O4" s="33" t="s">
        <v>127</v>
      </c>
      <c r="P4" s="33" t="s">
        <v>127</v>
      </c>
      <c r="Q4" s="33" t="s">
        <v>127</v>
      </c>
      <c r="R4" s="33" t="s">
        <v>127</v>
      </c>
      <c r="S4" s="33" t="s">
        <v>127</v>
      </c>
      <c r="T4" s="33" t="s">
        <v>127</v>
      </c>
      <c r="U4" s="33" t="s">
        <v>127</v>
      </c>
      <c r="V4" s="33" t="s">
        <v>127</v>
      </c>
      <c r="W4" s="33" t="s">
        <v>127</v>
      </c>
      <c r="X4" s="33" t="s">
        <v>127</v>
      </c>
      <c r="Y4" s="33" t="s">
        <v>127</v>
      </c>
      <c r="Z4" s="33" t="s">
        <v>127</v>
      </c>
      <c r="AA4" s="33" t="s">
        <v>127</v>
      </c>
      <c r="AB4" s="33" t="s">
        <v>127</v>
      </c>
      <c r="AC4" s="33" t="s">
        <v>127</v>
      </c>
      <c r="AD4" s="33" t="s">
        <v>127</v>
      </c>
      <c r="AE4" s="33" t="s">
        <v>127</v>
      </c>
      <c r="AF4" s="33" t="s">
        <v>127</v>
      </c>
      <c r="AG4" s="33" t="s">
        <v>127</v>
      </c>
      <c r="AH4" s="33" t="s">
        <v>127</v>
      </c>
      <c r="AI4" s="33">
        <f>SUM(G4:AH4)/(28*5)*100</f>
        <v>0</v>
      </c>
      <c r="AJ4" s="33" t="str">
        <f t="shared" ref="AJ4:AJ23" si="0">IF(AI4&gt;=75,"Cleared","Not Cleared")</f>
        <v>Not Cleared</v>
      </c>
      <c r="AK4" s="33" t="s">
        <v>127</v>
      </c>
      <c r="AL4" s="33" t="s">
        <v>127</v>
      </c>
      <c r="AM4" s="33" t="s">
        <v>127</v>
      </c>
      <c r="AN4" s="33" t="s">
        <v>127</v>
      </c>
      <c r="AO4" s="33" t="s">
        <v>127</v>
      </c>
      <c r="AP4" s="33" t="s">
        <v>127</v>
      </c>
      <c r="AQ4" s="33" t="s">
        <v>127</v>
      </c>
      <c r="AR4" s="33" t="s">
        <v>127</v>
      </c>
      <c r="AS4" s="33">
        <f>SUM(AK4:AR4)/(8*5)*100</f>
        <v>0</v>
      </c>
      <c r="AT4" s="33" t="s">
        <v>128</v>
      </c>
      <c r="AU4" s="33" t="s">
        <v>128</v>
      </c>
      <c r="AV4" s="33" t="s">
        <v>128</v>
      </c>
      <c r="AW4" s="33" t="s">
        <v>128</v>
      </c>
      <c r="AX4" s="33" t="s">
        <v>128</v>
      </c>
      <c r="AY4" s="33">
        <f>SUM(AT4:AX4)/(5*5)*100</f>
        <v>0</v>
      </c>
      <c r="AZ4" s="33" t="s">
        <v>129</v>
      </c>
    </row>
    <row r="5" spans="1:52" s="22" customFormat="1" x14ac:dyDescent="0.25">
      <c r="A5" s="39">
        <v>2</v>
      </c>
      <c r="B5" s="40">
        <v>6412344</v>
      </c>
      <c r="C5" s="40" t="s">
        <v>133</v>
      </c>
      <c r="D5" s="43" t="s">
        <v>134</v>
      </c>
      <c r="E5" s="40" t="s">
        <v>171</v>
      </c>
      <c r="F5" s="39"/>
      <c r="G5" s="33" t="s">
        <v>127</v>
      </c>
      <c r="H5" s="33" t="s">
        <v>127</v>
      </c>
      <c r="I5" s="33" t="s">
        <v>127</v>
      </c>
      <c r="J5" s="33" t="s">
        <v>127</v>
      </c>
      <c r="K5" s="33" t="s">
        <v>127</v>
      </c>
      <c r="L5" s="33" t="s">
        <v>127</v>
      </c>
      <c r="M5" s="33" t="s">
        <v>127</v>
      </c>
      <c r="N5" s="33" t="s">
        <v>127</v>
      </c>
      <c r="O5" s="33" t="s">
        <v>127</v>
      </c>
      <c r="P5" s="33" t="s">
        <v>127</v>
      </c>
      <c r="Q5" s="33" t="s">
        <v>127</v>
      </c>
      <c r="R5" s="33" t="s">
        <v>127</v>
      </c>
      <c r="S5" s="33" t="s">
        <v>127</v>
      </c>
      <c r="T5" s="33" t="s">
        <v>127</v>
      </c>
      <c r="U5" s="33" t="s">
        <v>127</v>
      </c>
      <c r="V5" s="33" t="s">
        <v>127</v>
      </c>
      <c r="W5" s="33" t="s">
        <v>127</v>
      </c>
      <c r="X5" s="33" t="s">
        <v>127</v>
      </c>
      <c r="Y5" s="33" t="s">
        <v>127</v>
      </c>
      <c r="Z5" s="33" t="s">
        <v>127</v>
      </c>
      <c r="AA5" s="33" t="s">
        <v>127</v>
      </c>
      <c r="AB5" s="33" t="s">
        <v>127</v>
      </c>
      <c r="AC5" s="33" t="s">
        <v>127</v>
      </c>
      <c r="AD5" s="33" t="s">
        <v>127</v>
      </c>
      <c r="AE5" s="33" t="s">
        <v>127</v>
      </c>
      <c r="AF5" s="33" t="s">
        <v>127</v>
      </c>
      <c r="AG5" s="33" t="s">
        <v>127</v>
      </c>
      <c r="AH5" s="33" t="s">
        <v>127</v>
      </c>
      <c r="AI5" s="33">
        <f t="shared" ref="AI5:AI23" si="1">SUM(G5:AH5)/(28*5)*100</f>
        <v>0</v>
      </c>
      <c r="AJ5" s="33" t="str">
        <f t="shared" si="0"/>
        <v>Not Cleared</v>
      </c>
      <c r="AK5" s="33" t="s">
        <v>127</v>
      </c>
      <c r="AL5" s="33" t="s">
        <v>127</v>
      </c>
      <c r="AM5" s="33" t="s">
        <v>127</v>
      </c>
      <c r="AN5" s="33" t="s">
        <v>127</v>
      </c>
      <c r="AO5" s="33" t="s">
        <v>127</v>
      </c>
      <c r="AP5" s="33" t="s">
        <v>127</v>
      </c>
      <c r="AQ5" s="33" t="s">
        <v>127</v>
      </c>
      <c r="AR5" s="33" t="s">
        <v>127</v>
      </c>
      <c r="AS5" s="33">
        <f t="shared" ref="AS5:AS22" si="2">SUM(AK5:AR5)/(8*5)*100</f>
        <v>0</v>
      </c>
      <c r="AT5" s="33" t="s">
        <v>128</v>
      </c>
      <c r="AU5" s="33" t="s">
        <v>128</v>
      </c>
      <c r="AV5" s="33" t="s">
        <v>128</v>
      </c>
      <c r="AW5" s="33" t="s">
        <v>128</v>
      </c>
      <c r="AX5" s="33" t="s">
        <v>128</v>
      </c>
      <c r="AY5" s="33">
        <f t="shared" ref="AY5:AY23" si="3">SUM(AT5:AX5)/(5*5)*100</f>
        <v>0</v>
      </c>
      <c r="AZ5" s="33" t="s">
        <v>129</v>
      </c>
    </row>
    <row r="6" spans="1:52" s="22" customFormat="1" x14ac:dyDescent="0.25">
      <c r="A6" s="39">
        <v>3</v>
      </c>
      <c r="B6" s="40">
        <v>6417282</v>
      </c>
      <c r="C6" s="40" t="s">
        <v>135</v>
      </c>
      <c r="D6" s="43" t="s">
        <v>136</v>
      </c>
      <c r="E6" s="40" t="s">
        <v>171</v>
      </c>
      <c r="F6" s="39"/>
      <c r="G6" s="33" t="s">
        <v>127</v>
      </c>
      <c r="H6" s="33" t="s">
        <v>127</v>
      </c>
      <c r="I6" s="33" t="s">
        <v>127</v>
      </c>
      <c r="J6" s="33" t="s">
        <v>127</v>
      </c>
      <c r="K6" s="33" t="s">
        <v>127</v>
      </c>
      <c r="L6" s="33" t="s">
        <v>127</v>
      </c>
      <c r="M6" s="33" t="s">
        <v>127</v>
      </c>
      <c r="N6" s="33" t="s">
        <v>127</v>
      </c>
      <c r="O6" s="33" t="s">
        <v>127</v>
      </c>
      <c r="P6" s="33" t="s">
        <v>127</v>
      </c>
      <c r="Q6" s="33" t="s">
        <v>127</v>
      </c>
      <c r="R6" s="33" t="s">
        <v>127</v>
      </c>
      <c r="S6" s="33" t="s">
        <v>127</v>
      </c>
      <c r="T6" s="33" t="s">
        <v>127</v>
      </c>
      <c r="U6" s="33" t="s">
        <v>127</v>
      </c>
      <c r="V6" s="33" t="s">
        <v>127</v>
      </c>
      <c r="W6" s="33" t="s">
        <v>127</v>
      </c>
      <c r="X6" s="33" t="s">
        <v>127</v>
      </c>
      <c r="Y6" s="33" t="s">
        <v>127</v>
      </c>
      <c r="Z6" s="33" t="s">
        <v>127</v>
      </c>
      <c r="AA6" s="33" t="s">
        <v>127</v>
      </c>
      <c r="AB6" s="33" t="s">
        <v>127</v>
      </c>
      <c r="AC6" s="33" t="s">
        <v>127</v>
      </c>
      <c r="AD6" s="33" t="s">
        <v>127</v>
      </c>
      <c r="AE6" s="33" t="s">
        <v>127</v>
      </c>
      <c r="AF6" s="33" t="s">
        <v>127</v>
      </c>
      <c r="AG6" s="33" t="s">
        <v>127</v>
      </c>
      <c r="AH6" s="33" t="s">
        <v>127</v>
      </c>
      <c r="AI6" s="33">
        <f t="shared" si="1"/>
        <v>0</v>
      </c>
      <c r="AJ6" s="33" t="str">
        <f t="shared" si="0"/>
        <v>Not Cleared</v>
      </c>
      <c r="AK6" s="33" t="s">
        <v>127</v>
      </c>
      <c r="AL6" s="33" t="s">
        <v>127</v>
      </c>
      <c r="AM6" s="33" t="s">
        <v>127</v>
      </c>
      <c r="AN6" s="33" t="s">
        <v>127</v>
      </c>
      <c r="AO6" s="33" t="s">
        <v>127</v>
      </c>
      <c r="AP6" s="33" t="s">
        <v>127</v>
      </c>
      <c r="AQ6" s="33" t="s">
        <v>127</v>
      </c>
      <c r="AR6" s="33" t="s">
        <v>127</v>
      </c>
      <c r="AS6" s="33">
        <f t="shared" si="2"/>
        <v>0</v>
      </c>
      <c r="AT6" s="33" t="s">
        <v>128</v>
      </c>
      <c r="AU6" s="33" t="s">
        <v>128</v>
      </c>
      <c r="AV6" s="33" t="s">
        <v>128</v>
      </c>
      <c r="AW6" s="33" t="s">
        <v>128</v>
      </c>
      <c r="AX6" s="33" t="s">
        <v>128</v>
      </c>
      <c r="AY6" s="33">
        <f t="shared" si="3"/>
        <v>0</v>
      </c>
      <c r="AZ6" s="33" t="s">
        <v>129</v>
      </c>
    </row>
    <row r="7" spans="1:52" s="22" customFormat="1" x14ac:dyDescent="0.25">
      <c r="A7" s="39">
        <v>4</v>
      </c>
      <c r="B7" s="40">
        <v>6524206</v>
      </c>
      <c r="C7" s="40" t="s">
        <v>137</v>
      </c>
      <c r="D7" s="43" t="s">
        <v>138</v>
      </c>
      <c r="E7" s="40" t="s">
        <v>171</v>
      </c>
      <c r="F7" s="39"/>
      <c r="G7" s="33" t="s">
        <v>127</v>
      </c>
      <c r="H7" s="33" t="s">
        <v>127</v>
      </c>
      <c r="I7" s="33" t="s">
        <v>127</v>
      </c>
      <c r="J7" s="33" t="s">
        <v>127</v>
      </c>
      <c r="K7" s="33" t="s">
        <v>127</v>
      </c>
      <c r="L7" s="33" t="s">
        <v>127</v>
      </c>
      <c r="M7" s="33" t="s">
        <v>127</v>
      </c>
      <c r="N7" s="33" t="s">
        <v>127</v>
      </c>
      <c r="O7" s="33" t="s">
        <v>127</v>
      </c>
      <c r="P7" s="33" t="s">
        <v>127</v>
      </c>
      <c r="Q7" s="33" t="s">
        <v>127</v>
      </c>
      <c r="R7" s="33" t="s">
        <v>127</v>
      </c>
      <c r="S7" s="33" t="s">
        <v>127</v>
      </c>
      <c r="T7" s="33" t="s">
        <v>127</v>
      </c>
      <c r="U7" s="33" t="s">
        <v>127</v>
      </c>
      <c r="V7" s="33" t="s">
        <v>127</v>
      </c>
      <c r="W7" s="33" t="s">
        <v>127</v>
      </c>
      <c r="X7" s="33" t="s">
        <v>127</v>
      </c>
      <c r="Y7" s="33" t="s">
        <v>127</v>
      </c>
      <c r="Z7" s="33" t="s">
        <v>127</v>
      </c>
      <c r="AA7" s="33" t="s">
        <v>127</v>
      </c>
      <c r="AB7" s="33" t="s">
        <v>127</v>
      </c>
      <c r="AC7" s="33" t="s">
        <v>127</v>
      </c>
      <c r="AD7" s="33" t="s">
        <v>127</v>
      </c>
      <c r="AE7" s="33" t="s">
        <v>127</v>
      </c>
      <c r="AF7" s="33" t="s">
        <v>127</v>
      </c>
      <c r="AG7" s="33" t="s">
        <v>127</v>
      </c>
      <c r="AH7" s="33" t="s">
        <v>127</v>
      </c>
      <c r="AI7" s="33">
        <f t="shared" si="1"/>
        <v>0</v>
      </c>
      <c r="AJ7" s="33" t="str">
        <f t="shared" si="0"/>
        <v>Not Cleared</v>
      </c>
      <c r="AK7" s="33" t="s">
        <v>127</v>
      </c>
      <c r="AL7" s="33" t="s">
        <v>127</v>
      </c>
      <c r="AM7" s="33" t="s">
        <v>127</v>
      </c>
      <c r="AN7" s="33" t="s">
        <v>127</v>
      </c>
      <c r="AO7" s="33" t="s">
        <v>127</v>
      </c>
      <c r="AP7" s="33" t="s">
        <v>127</v>
      </c>
      <c r="AQ7" s="33" t="s">
        <v>127</v>
      </c>
      <c r="AR7" s="33" t="s">
        <v>127</v>
      </c>
      <c r="AS7" s="33">
        <f t="shared" si="2"/>
        <v>0</v>
      </c>
      <c r="AT7" s="33" t="s">
        <v>128</v>
      </c>
      <c r="AU7" s="33" t="s">
        <v>128</v>
      </c>
      <c r="AV7" s="33" t="s">
        <v>128</v>
      </c>
      <c r="AW7" s="33" t="s">
        <v>128</v>
      </c>
      <c r="AX7" s="33" t="s">
        <v>128</v>
      </c>
      <c r="AY7" s="33">
        <f t="shared" si="3"/>
        <v>0</v>
      </c>
      <c r="AZ7" s="33" t="s">
        <v>129</v>
      </c>
    </row>
    <row r="8" spans="1:52" s="22" customFormat="1" x14ac:dyDescent="0.25">
      <c r="A8" s="39">
        <v>5</v>
      </c>
      <c r="B8" s="40">
        <v>6525014</v>
      </c>
      <c r="C8" s="40" t="s">
        <v>139</v>
      </c>
      <c r="D8" s="43" t="s">
        <v>140</v>
      </c>
      <c r="E8" s="40" t="s">
        <v>171</v>
      </c>
      <c r="F8" s="39"/>
      <c r="G8" s="33" t="s">
        <v>127</v>
      </c>
      <c r="H8" s="33" t="s">
        <v>127</v>
      </c>
      <c r="I8" s="33" t="s">
        <v>127</v>
      </c>
      <c r="J8" s="33" t="s">
        <v>127</v>
      </c>
      <c r="K8" s="33" t="s">
        <v>127</v>
      </c>
      <c r="L8" s="33" t="s">
        <v>127</v>
      </c>
      <c r="M8" s="33" t="s">
        <v>127</v>
      </c>
      <c r="N8" s="33" t="s">
        <v>127</v>
      </c>
      <c r="O8" s="33" t="s">
        <v>127</v>
      </c>
      <c r="P8" s="33" t="s">
        <v>127</v>
      </c>
      <c r="Q8" s="33" t="s">
        <v>127</v>
      </c>
      <c r="R8" s="33" t="s">
        <v>127</v>
      </c>
      <c r="S8" s="33" t="s">
        <v>127</v>
      </c>
      <c r="T8" s="33" t="s">
        <v>127</v>
      </c>
      <c r="U8" s="33" t="s">
        <v>127</v>
      </c>
      <c r="V8" s="33" t="s">
        <v>127</v>
      </c>
      <c r="W8" s="33" t="s">
        <v>127</v>
      </c>
      <c r="X8" s="33" t="s">
        <v>127</v>
      </c>
      <c r="Y8" s="33" t="s">
        <v>127</v>
      </c>
      <c r="Z8" s="33" t="s">
        <v>127</v>
      </c>
      <c r="AA8" s="33" t="s">
        <v>127</v>
      </c>
      <c r="AB8" s="33" t="s">
        <v>127</v>
      </c>
      <c r="AC8" s="33" t="s">
        <v>127</v>
      </c>
      <c r="AD8" s="33" t="s">
        <v>127</v>
      </c>
      <c r="AE8" s="33" t="s">
        <v>127</v>
      </c>
      <c r="AF8" s="33" t="s">
        <v>127</v>
      </c>
      <c r="AG8" s="33" t="s">
        <v>127</v>
      </c>
      <c r="AH8" s="33" t="s">
        <v>127</v>
      </c>
      <c r="AI8" s="33">
        <f t="shared" si="1"/>
        <v>0</v>
      </c>
      <c r="AJ8" s="33" t="str">
        <f t="shared" si="0"/>
        <v>Not Cleared</v>
      </c>
      <c r="AK8" s="33" t="s">
        <v>127</v>
      </c>
      <c r="AL8" s="33" t="s">
        <v>127</v>
      </c>
      <c r="AM8" s="33" t="s">
        <v>127</v>
      </c>
      <c r="AN8" s="33" t="s">
        <v>127</v>
      </c>
      <c r="AO8" s="33" t="s">
        <v>127</v>
      </c>
      <c r="AP8" s="33" t="s">
        <v>127</v>
      </c>
      <c r="AQ8" s="33" t="s">
        <v>127</v>
      </c>
      <c r="AR8" s="33" t="s">
        <v>127</v>
      </c>
      <c r="AS8" s="33">
        <f t="shared" si="2"/>
        <v>0</v>
      </c>
      <c r="AT8" s="33" t="s">
        <v>128</v>
      </c>
      <c r="AU8" s="33" t="s">
        <v>128</v>
      </c>
      <c r="AV8" s="33" t="s">
        <v>128</v>
      </c>
      <c r="AW8" s="33" t="s">
        <v>128</v>
      </c>
      <c r="AX8" s="33" t="s">
        <v>128</v>
      </c>
      <c r="AY8" s="33">
        <f t="shared" si="3"/>
        <v>0</v>
      </c>
      <c r="AZ8" s="33" t="s">
        <v>129</v>
      </c>
    </row>
    <row r="9" spans="1:52" s="22" customFormat="1" x14ac:dyDescent="0.25">
      <c r="A9" s="39">
        <v>6</v>
      </c>
      <c r="B9" s="40">
        <v>6526126</v>
      </c>
      <c r="C9" s="40" t="s">
        <v>141</v>
      </c>
      <c r="D9" s="43" t="s">
        <v>142</v>
      </c>
      <c r="E9" s="40" t="s">
        <v>171</v>
      </c>
      <c r="F9" s="39"/>
      <c r="G9" s="33" t="s">
        <v>127</v>
      </c>
      <c r="H9" s="33" t="s">
        <v>127</v>
      </c>
      <c r="I9" s="33" t="s">
        <v>127</v>
      </c>
      <c r="J9" s="33" t="s">
        <v>127</v>
      </c>
      <c r="K9" s="33" t="s">
        <v>127</v>
      </c>
      <c r="L9" s="33" t="s">
        <v>127</v>
      </c>
      <c r="M9" s="33" t="s">
        <v>127</v>
      </c>
      <c r="N9" s="33" t="s">
        <v>127</v>
      </c>
      <c r="O9" s="33" t="s">
        <v>127</v>
      </c>
      <c r="P9" s="33" t="s">
        <v>127</v>
      </c>
      <c r="Q9" s="33" t="s">
        <v>127</v>
      </c>
      <c r="R9" s="33" t="s">
        <v>127</v>
      </c>
      <c r="S9" s="33" t="s">
        <v>127</v>
      </c>
      <c r="T9" s="33" t="s">
        <v>127</v>
      </c>
      <c r="U9" s="33" t="s">
        <v>127</v>
      </c>
      <c r="V9" s="33" t="s">
        <v>127</v>
      </c>
      <c r="W9" s="33" t="s">
        <v>127</v>
      </c>
      <c r="X9" s="33" t="s">
        <v>127</v>
      </c>
      <c r="Y9" s="33" t="s">
        <v>127</v>
      </c>
      <c r="Z9" s="33" t="s">
        <v>127</v>
      </c>
      <c r="AA9" s="33" t="s">
        <v>127</v>
      </c>
      <c r="AB9" s="33" t="s">
        <v>127</v>
      </c>
      <c r="AC9" s="33" t="s">
        <v>127</v>
      </c>
      <c r="AD9" s="33" t="s">
        <v>127</v>
      </c>
      <c r="AE9" s="33" t="s">
        <v>127</v>
      </c>
      <c r="AF9" s="33" t="s">
        <v>127</v>
      </c>
      <c r="AG9" s="33" t="s">
        <v>127</v>
      </c>
      <c r="AH9" s="33" t="s">
        <v>127</v>
      </c>
      <c r="AI9" s="33">
        <f t="shared" si="1"/>
        <v>0</v>
      </c>
      <c r="AJ9" s="33" t="str">
        <f t="shared" si="0"/>
        <v>Not Cleared</v>
      </c>
      <c r="AK9" s="33" t="s">
        <v>127</v>
      </c>
      <c r="AL9" s="33" t="s">
        <v>127</v>
      </c>
      <c r="AM9" s="33" t="s">
        <v>127</v>
      </c>
      <c r="AN9" s="33" t="s">
        <v>127</v>
      </c>
      <c r="AO9" s="33" t="s">
        <v>127</v>
      </c>
      <c r="AP9" s="33" t="s">
        <v>127</v>
      </c>
      <c r="AQ9" s="33" t="s">
        <v>127</v>
      </c>
      <c r="AR9" s="33" t="s">
        <v>127</v>
      </c>
      <c r="AS9" s="33">
        <f t="shared" si="2"/>
        <v>0</v>
      </c>
      <c r="AT9" s="33" t="s">
        <v>128</v>
      </c>
      <c r="AU9" s="33" t="s">
        <v>128</v>
      </c>
      <c r="AV9" s="33" t="s">
        <v>128</v>
      </c>
      <c r="AW9" s="33" t="s">
        <v>128</v>
      </c>
      <c r="AX9" s="33" t="s">
        <v>128</v>
      </c>
      <c r="AY9" s="33">
        <f t="shared" si="3"/>
        <v>0</v>
      </c>
      <c r="AZ9" s="33" t="s">
        <v>129</v>
      </c>
    </row>
    <row r="10" spans="1:52" s="22" customFormat="1" x14ac:dyDescent="0.25">
      <c r="A10" s="39">
        <v>7</v>
      </c>
      <c r="B10" s="40">
        <v>6569189</v>
      </c>
      <c r="C10" s="40" t="s">
        <v>143</v>
      </c>
      <c r="D10" s="43" t="s">
        <v>144</v>
      </c>
      <c r="E10" s="40" t="s">
        <v>171</v>
      </c>
      <c r="F10" s="39"/>
      <c r="G10" s="33" t="s">
        <v>127</v>
      </c>
      <c r="H10" s="33" t="s">
        <v>127</v>
      </c>
      <c r="I10" s="33" t="s">
        <v>127</v>
      </c>
      <c r="J10" s="33" t="s">
        <v>127</v>
      </c>
      <c r="K10" s="33" t="s">
        <v>127</v>
      </c>
      <c r="L10" s="33" t="s">
        <v>127</v>
      </c>
      <c r="M10" s="33" t="s">
        <v>127</v>
      </c>
      <c r="N10" s="33" t="s">
        <v>127</v>
      </c>
      <c r="O10" s="33" t="s">
        <v>127</v>
      </c>
      <c r="P10" s="33" t="s">
        <v>127</v>
      </c>
      <c r="Q10" s="33" t="s">
        <v>127</v>
      </c>
      <c r="R10" s="33" t="s">
        <v>127</v>
      </c>
      <c r="S10" s="33" t="s">
        <v>127</v>
      </c>
      <c r="T10" s="33" t="s">
        <v>127</v>
      </c>
      <c r="U10" s="33" t="s">
        <v>127</v>
      </c>
      <c r="V10" s="33" t="s">
        <v>127</v>
      </c>
      <c r="W10" s="33" t="s">
        <v>127</v>
      </c>
      <c r="X10" s="33" t="s">
        <v>127</v>
      </c>
      <c r="Y10" s="33" t="s">
        <v>127</v>
      </c>
      <c r="Z10" s="33" t="s">
        <v>127</v>
      </c>
      <c r="AA10" s="33" t="s">
        <v>127</v>
      </c>
      <c r="AB10" s="33" t="s">
        <v>127</v>
      </c>
      <c r="AC10" s="33" t="s">
        <v>127</v>
      </c>
      <c r="AD10" s="33" t="s">
        <v>127</v>
      </c>
      <c r="AE10" s="33" t="s">
        <v>127</v>
      </c>
      <c r="AF10" s="33" t="s">
        <v>127</v>
      </c>
      <c r="AG10" s="33" t="s">
        <v>127</v>
      </c>
      <c r="AH10" s="33" t="s">
        <v>127</v>
      </c>
      <c r="AI10" s="33">
        <f t="shared" si="1"/>
        <v>0</v>
      </c>
      <c r="AJ10" s="33" t="str">
        <f t="shared" si="0"/>
        <v>Not Cleared</v>
      </c>
      <c r="AK10" s="33" t="s">
        <v>127</v>
      </c>
      <c r="AL10" s="33" t="s">
        <v>127</v>
      </c>
      <c r="AM10" s="33" t="s">
        <v>127</v>
      </c>
      <c r="AN10" s="33" t="s">
        <v>127</v>
      </c>
      <c r="AO10" s="33" t="s">
        <v>127</v>
      </c>
      <c r="AP10" s="33" t="s">
        <v>127</v>
      </c>
      <c r="AQ10" s="33" t="s">
        <v>127</v>
      </c>
      <c r="AR10" s="33" t="s">
        <v>127</v>
      </c>
      <c r="AS10" s="33">
        <f t="shared" si="2"/>
        <v>0</v>
      </c>
      <c r="AT10" s="33" t="s">
        <v>128</v>
      </c>
      <c r="AU10" s="33" t="s">
        <v>128</v>
      </c>
      <c r="AV10" s="33" t="s">
        <v>128</v>
      </c>
      <c r="AW10" s="33" t="s">
        <v>128</v>
      </c>
      <c r="AX10" s="33" t="s">
        <v>128</v>
      </c>
      <c r="AY10" s="33">
        <f t="shared" si="3"/>
        <v>0</v>
      </c>
      <c r="AZ10" s="33" t="s">
        <v>129</v>
      </c>
    </row>
    <row r="11" spans="1:52" s="22" customFormat="1" x14ac:dyDescent="0.25">
      <c r="A11" s="39">
        <v>8</v>
      </c>
      <c r="B11" s="40">
        <v>6567404</v>
      </c>
      <c r="C11" s="40" t="s">
        <v>145</v>
      </c>
      <c r="D11" s="43" t="s">
        <v>146</v>
      </c>
      <c r="E11" s="40" t="s">
        <v>171</v>
      </c>
      <c r="F11" s="39"/>
      <c r="G11" s="33" t="s">
        <v>127</v>
      </c>
      <c r="H11" s="33" t="s">
        <v>127</v>
      </c>
      <c r="I11" s="33" t="s">
        <v>127</v>
      </c>
      <c r="J11" s="33" t="s">
        <v>127</v>
      </c>
      <c r="K11" s="33" t="s">
        <v>127</v>
      </c>
      <c r="L11" s="33" t="s">
        <v>127</v>
      </c>
      <c r="M11" s="33" t="s">
        <v>127</v>
      </c>
      <c r="N11" s="33" t="s">
        <v>127</v>
      </c>
      <c r="O11" s="33" t="s">
        <v>127</v>
      </c>
      <c r="P11" s="33" t="s">
        <v>127</v>
      </c>
      <c r="Q11" s="33" t="s">
        <v>127</v>
      </c>
      <c r="R11" s="33" t="s">
        <v>127</v>
      </c>
      <c r="S11" s="33" t="s">
        <v>127</v>
      </c>
      <c r="T11" s="33" t="s">
        <v>127</v>
      </c>
      <c r="U11" s="33" t="s">
        <v>127</v>
      </c>
      <c r="V11" s="33" t="s">
        <v>127</v>
      </c>
      <c r="W11" s="33" t="s">
        <v>127</v>
      </c>
      <c r="X11" s="33" t="s">
        <v>127</v>
      </c>
      <c r="Y11" s="33" t="s">
        <v>127</v>
      </c>
      <c r="Z11" s="33" t="s">
        <v>127</v>
      </c>
      <c r="AA11" s="33" t="s">
        <v>127</v>
      </c>
      <c r="AB11" s="33" t="s">
        <v>127</v>
      </c>
      <c r="AC11" s="33" t="s">
        <v>127</v>
      </c>
      <c r="AD11" s="33" t="s">
        <v>127</v>
      </c>
      <c r="AE11" s="33" t="s">
        <v>127</v>
      </c>
      <c r="AF11" s="33" t="s">
        <v>127</v>
      </c>
      <c r="AG11" s="33" t="s">
        <v>127</v>
      </c>
      <c r="AH11" s="33" t="s">
        <v>127</v>
      </c>
      <c r="AI11" s="33">
        <f t="shared" si="1"/>
        <v>0</v>
      </c>
      <c r="AJ11" s="33" t="str">
        <f t="shared" si="0"/>
        <v>Not Cleared</v>
      </c>
      <c r="AK11" s="33" t="s">
        <v>127</v>
      </c>
      <c r="AL11" s="33" t="s">
        <v>127</v>
      </c>
      <c r="AM11" s="33" t="s">
        <v>127</v>
      </c>
      <c r="AN11" s="33" t="s">
        <v>127</v>
      </c>
      <c r="AO11" s="33" t="s">
        <v>127</v>
      </c>
      <c r="AP11" s="33" t="s">
        <v>127</v>
      </c>
      <c r="AQ11" s="33" t="s">
        <v>127</v>
      </c>
      <c r="AR11" s="33" t="s">
        <v>127</v>
      </c>
      <c r="AS11" s="33">
        <f>SUM(AK11:AR11)/(8*5)*100</f>
        <v>0</v>
      </c>
      <c r="AT11" s="33" t="s">
        <v>128</v>
      </c>
      <c r="AU11" s="33" t="s">
        <v>128</v>
      </c>
      <c r="AV11" s="33" t="s">
        <v>128</v>
      </c>
      <c r="AW11" s="33" t="s">
        <v>128</v>
      </c>
      <c r="AX11" s="33" t="s">
        <v>128</v>
      </c>
      <c r="AY11" s="33">
        <f t="shared" si="3"/>
        <v>0</v>
      </c>
      <c r="AZ11" s="33" t="s">
        <v>129</v>
      </c>
    </row>
    <row r="12" spans="1:52" s="22" customFormat="1" x14ac:dyDescent="0.25">
      <c r="A12" s="39">
        <v>9</v>
      </c>
      <c r="B12" s="40">
        <v>6385198</v>
      </c>
      <c r="C12" s="40" t="s">
        <v>147</v>
      </c>
      <c r="D12" s="43" t="s">
        <v>148</v>
      </c>
      <c r="E12" s="40" t="s">
        <v>171</v>
      </c>
      <c r="F12" s="39"/>
      <c r="G12" s="33" t="s">
        <v>127</v>
      </c>
      <c r="H12" s="33" t="s">
        <v>127</v>
      </c>
      <c r="I12" s="33" t="s">
        <v>127</v>
      </c>
      <c r="J12" s="33" t="s">
        <v>127</v>
      </c>
      <c r="K12" s="33" t="s">
        <v>127</v>
      </c>
      <c r="L12" s="33" t="s">
        <v>127</v>
      </c>
      <c r="M12" s="33" t="s">
        <v>127</v>
      </c>
      <c r="N12" s="33" t="s">
        <v>127</v>
      </c>
      <c r="O12" s="33" t="s">
        <v>127</v>
      </c>
      <c r="P12" s="33" t="s">
        <v>127</v>
      </c>
      <c r="Q12" s="33" t="s">
        <v>127</v>
      </c>
      <c r="R12" s="33" t="s">
        <v>127</v>
      </c>
      <c r="S12" s="33" t="s">
        <v>127</v>
      </c>
      <c r="T12" s="33" t="s">
        <v>127</v>
      </c>
      <c r="U12" s="33" t="s">
        <v>127</v>
      </c>
      <c r="V12" s="33" t="s">
        <v>127</v>
      </c>
      <c r="W12" s="33" t="s">
        <v>127</v>
      </c>
      <c r="X12" s="33" t="s">
        <v>127</v>
      </c>
      <c r="Y12" s="33" t="s">
        <v>127</v>
      </c>
      <c r="Z12" s="33" t="s">
        <v>127</v>
      </c>
      <c r="AA12" s="33" t="s">
        <v>127</v>
      </c>
      <c r="AB12" s="33" t="s">
        <v>127</v>
      </c>
      <c r="AC12" s="33" t="s">
        <v>127</v>
      </c>
      <c r="AD12" s="33" t="s">
        <v>127</v>
      </c>
      <c r="AE12" s="33" t="s">
        <v>127</v>
      </c>
      <c r="AF12" s="33" t="s">
        <v>127</v>
      </c>
      <c r="AG12" s="33" t="s">
        <v>127</v>
      </c>
      <c r="AH12" s="33" t="s">
        <v>127</v>
      </c>
      <c r="AI12" s="33">
        <f t="shared" si="1"/>
        <v>0</v>
      </c>
      <c r="AJ12" s="33" t="str">
        <f t="shared" si="0"/>
        <v>Not Cleared</v>
      </c>
      <c r="AK12" s="33" t="s">
        <v>127</v>
      </c>
      <c r="AL12" s="33" t="s">
        <v>127</v>
      </c>
      <c r="AM12" s="33" t="s">
        <v>127</v>
      </c>
      <c r="AN12" s="33" t="s">
        <v>127</v>
      </c>
      <c r="AO12" s="33" t="s">
        <v>127</v>
      </c>
      <c r="AP12" s="33" t="s">
        <v>127</v>
      </c>
      <c r="AQ12" s="33" t="s">
        <v>127</v>
      </c>
      <c r="AR12" s="33" t="s">
        <v>127</v>
      </c>
      <c r="AS12" s="33">
        <f t="shared" si="2"/>
        <v>0</v>
      </c>
      <c r="AT12" s="33" t="s">
        <v>128</v>
      </c>
      <c r="AU12" s="33" t="s">
        <v>128</v>
      </c>
      <c r="AV12" s="33" t="s">
        <v>128</v>
      </c>
      <c r="AW12" s="33" t="s">
        <v>128</v>
      </c>
      <c r="AX12" s="33" t="s">
        <v>128</v>
      </c>
      <c r="AY12" s="33">
        <f t="shared" si="3"/>
        <v>0</v>
      </c>
      <c r="AZ12" s="33" t="s">
        <v>129</v>
      </c>
    </row>
    <row r="13" spans="1:52" s="22" customFormat="1" x14ac:dyDescent="0.25">
      <c r="A13" s="39">
        <v>10</v>
      </c>
      <c r="B13" s="40">
        <v>6433293</v>
      </c>
      <c r="C13" s="40" t="s">
        <v>149</v>
      </c>
      <c r="D13" s="43" t="s">
        <v>150</v>
      </c>
      <c r="E13" s="40" t="s">
        <v>171</v>
      </c>
      <c r="F13" s="39"/>
      <c r="G13" s="33" t="s">
        <v>127</v>
      </c>
      <c r="H13" s="33" t="s">
        <v>127</v>
      </c>
      <c r="I13" s="33" t="s">
        <v>127</v>
      </c>
      <c r="J13" s="33" t="s">
        <v>127</v>
      </c>
      <c r="K13" s="33" t="s">
        <v>127</v>
      </c>
      <c r="L13" s="33" t="s">
        <v>127</v>
      </c>
      <c r="M13" s="33" t="s">
        <v>127</v>
      </c>
      <c r="N13" s="33" t="s">
        <v>127</v>
      </c>
      <c r="O13" s="33" t="s">
        <v>127</v>
      </c>
      <c r="P13" s="33" t="s">
        <v>127</v>
      </c>
      <c r="Q13" s="33" t="s">
        <v>127</v>
      </c>
      <c r="R13" s="33" t="s">
        <v>127</v>
      </c>
      <c r="S13" s="33" t="s">
        <v>127</v>
      </c>
      <c r="T13" s="33" t="s">
        <v>127</v>
      </c>
      <c r="U13" s="33" t="s">
        <v>127</v>
      </c>
      <c r="V13" s="33" t="s">
        <v>127</v>
      </c>
      <c r="W13" s="33" t="s">
        <v>127</v>
      </c>
      <c r="X13" s="33" t="s">
        <v>127</v>
      </c>
      <c r="Y13" s="33" t="s">
        <v>127</v>
      </c>
      <c r="Z13" s="33" t="s">
        <v>127</v>
      </c>
      <c r="AA13" s="33" t="s">
        <v>127</v>
      </c>
      <c r="AB13" s="33" t="s">
        <v>127</v>
      </c>
      <c r="AC13" s="33" t="s">
        <v>127</v>
      </c>
      <c r="AD13" s="33" t="s">
        <v>127</v>
      </c>
      <c r="AE13" s="33" t="s">
        <v>127</v>
      </c>
      <c r="AF13" s="33" t="s">
        <v>127</v>
      </c>
      <c r="AG13" s="33" t="s">
        <v>127</v>
      </c>
      <c r="AH13" s="33" t="s">
        <v>127</v>
      </c>
      <c r="AI13" s="33">
        <f t="shared" si="1"/>
        <v>0</v>
      </c>
      <c r="AJ13" s="33" t="str">
        <f t="shared" si="0"/>
        <v>Not Cleared</v>
      </c>
      <c r="AK13" s="33" t="s">
        <v>127</v>
      </c>
      <c r="AL13" s="33" t="s">
        <v>127</v>
      </c>
      <c r="AM13" s="33" t="s">
        <v>127</v>
      </c>
      <c r="AN13" s="33" t="s">
        <v>127</v>
      </c>
      <c r="AO13" s="33" t="s">
        <v>127</v>
      </c>
      <c r="AP13" s="33" t="s">
        <v>127</v>
      </c>
      <c r="AQ13" s="33" t="s">
        <v>127</v>
      </c>
      <c r="AR13" s="33" t="s">
        <v>127</v>
      </c>
      <c r="AS13" s="33">
        <f t="shared" si="2"/>
        <v>0</v>
      </c>
      <c r="AT13" s="33" t="s">
        <v>128</v>
      </c>
      <c r="AU13" s="33" t="s">
        <v>128</v>
      </c>
      <c r="AV13" s="33" t="s">
        <v>128</v>
      </c>
      <c r="AW13" s="33" t="s">
        <v>128</v>
      </c>
      <c r="AX13" s="33" t="s">
        <v>128</v>
      </c>
      <c r="AY13" s="33">
        <f t="shared" si="3"/>
        <v>0</v>
      </c>
      <c r="AZ13" s="33" t="s">
        <v>129</v>
      </c>
    </row>
    <row r="14" spans="1:52" s="22" customFormat="1" x14ac:dyDescent="0.25">
      <c r="A14" s="39">
        <v>11</v>
      </c>
      <c r="B14" s="40">
        <v>6443376</v>
      </c>
      <c r="C14" s="40" t="s">
        <v>151</v>
      </c>
      <c r="D14" s="43" t="s">
        <v>152</v>
      </c>
      <c r="E14" s="40" t="s">
        <v>171</v>
      </c>
      <c r="F14" s="39"/>
      <c r="G14" s="33" t="s">
        <v>127</v>
      </c>
      <c r="H14" s="33" t="s">
        <v>127</v>
      </c>
      <c r="I14" s="33" t="s">
        <v>127</v>
      </c>
      <c r="J14" s="33" t="s">
        <v>127</v>
      </c>
      <c r="K14" s="33" t="s">
        <v>127</v>
      </c>
      <c r="L14" s="33" t="s">
        <v>127</v>
      </c>
      <c r="M14" s="33" t="s">
        <v>127</v>
      </c>
      <c r="N14" s="33" t="s">
        <v>127</v>
      </c>
      <c r="O14" s="33" t="s">
        <v>127</v>
      </c>
      <c r="P14" s="33" t="s">
        <v>127</v>
      </c>
      <c r="Q14" s="33" t="s">
        <v>127</v>
      </c>
      <c r="R14" s="33" t="s">
        <v>127</v>
      </c>
      <c r="S14" s="33" t="s">
        <v>127</v>
      </c>
      <c r="T14" s="33" t="s">
        <v>127</v>
      </c>
      <c r="U14" s="33" t="s">
        <v>127</v>
      </c>
      <c r="V14" s="33" t="s">
        <v>127</v>
      </c>
      <c r="W14" s="33" t="s">
        <v>127</v>
      </c>
      <c r="X14" s="33" t="s">
        <v>127</v>
      </c>
      <c r="Y14" s="33" t="s">
        <v>127</v>
      </c>
      <c r="Z14" s="33" t="s">
        <v>127</v>
      </c>
      <c r="AA14" s="33" t="s">
        <v>127</v>
      </c>
      <c r="AB14" s="33" t="s">
        <v>127</v>
      </c>
      <c r="AC14" s="33" t="s">
        <v>127</v>
      </c>
      <c r="AD14" s="33" t="s">
        <v>127</v>
      </c>
      <c r="AE14" s="33" t="s">
        <v>127</v>
      </c>
      <c r="AF14" s="33" t="s">
        <v>127</v>
      </c>
      <c r="AG14" s="33" t="s">
        <v>127</v>
      </c>
      <c r="AH14" s="33" t="s">
        <v>127</v>
      </c>
      <c r="AI14" s="33">
        <f t="shared" si="1"/>
        <v>0</v>
      </c>
      <c r="AJ14" s="33" t="str">
        <f t="shared" si="0"/>
        <v>Not Cleared</v>
      </c>
      <c r="AK14" s="33" t="s">
        <v>127</v>
      </c>
      <c r="AL14" s="33" t="s">
        <v>127</v>
      </c>
      <c r="AM14" s="33" t="s">
        <v>127</v>
      </c>
      <c r="AN14" s="33" t="s">
        <v>127</v>
      </c>
      <c r="AO14" s="33" t="s">
        <v>127</v>
      </c>
      <c r="AP14" s="33" t="s">
        <v>127</v>
      </c>
      <c r="AQ14" s="33" t="s">
        <v>127</v>
      </c>
      <c r="AR14" s="33" t="s">
        <v>127</v>
      </c>
      <c r="AS14" s="33">
        <f>SUM(AK14:AR14)/(8*5)*100</f>
        <v>0</v>
      </c>
      <c r="AT14" s="33" t="s">
        <v>128</v>
      </c>
      <c r="AU14" s="33" t="s">
        <v>128</v>
      </c>
      <c r="AV14" s="33" t="s">
        <v>128</v>
      </c>
      <c r="AW14" s="33" t="s">
        <v>128</v>
      </c>
      <c r="AX14" s="33" t="s">
        <v>128</v>
      </c>
      <c r="AY14" s="33">
        <f t="shared" si="3"/>
        <v>0</v>
      </c>
      <c r="AZ14" s="33" t="s">
        <v>129</v>
      </c>
    </row>
    <row r="15" spans="1:52" s="22" customFormat="1" x14ac:dyDescent="0.25">
      <c r="A15" s="39">
        <v>12</v>
      </c>
      <c r="B15" s="40">
        <v>6574685</v>
      </c>
      <c r="C15" s="40" t="s">
        <v>153</v>
      </c>
      <c r="D15" s="43" t="s">
        <v>154</v>
      </c>
      <c r="E15" s="40" t="s">
        <v>171</v>
      </c>
      <c r="F15" s="39"/>
      <c r="G15" s="33" t="s">
        <v>127</v>
      </c>
      <c r="H15" s="33" t="s">
        <v>127</v>
      </c>
      <c r="I15" s="33" t="s">
        <v>127</v>
      </c>
      <c r="J15" s="33" t="s">
        <v>127</v>
      </c>
      <c r="K15" s="33" t="s">
        <v>127</v>
      </c>
      <c r="L15" s="33" t="s">
        <v>127</v>
      </c>
      <c r="M15" s="33" t="s">
        <v>127</v>
      </c>
      <c r="N15" s="33" t="s">
        <v>127</v>
      </c>
      <c r="O15" s="33" t="s">
        <v>127</v>
      </c>
      <c r="P15" s="33" t="s">
        <v>127</v>
      </c>
      <c r="Q15" s="33" t="s">
        <v>127</v>
      </c>
      <c r="R15" s="33" t="s">
        <v>127</v>
      </c>
      <c r="S15" s="33" t="s">
        <v>127</v>
      </c>
      <c r="T15" s="33" t="s">
        <v>127</v>
      </c>
      <c r="U15" s="33" t="s">
        <v>127</v>
      </c>
      <c r="V15" s="33" t="s">
        <v>127</v>
      </c>
      <c r="W15" s="33" t="s">
        <v>127</v>
      </c>
      <c r="X15" s="33" t="s">
        <v>127</v>
      </c>
      <c r="Y15" s="33" t="s">
        <v>127</v>
      </c>
      <c r="Z15" s="33" t="s">
        <v>127</v>
      </c>
      <c r="AA15" s="33" t="s">
        <v>127</v>
      </c>
      <c r="AB15" s="33" t="s">
        <v>127</v>
      </c>
      <c r="AC15" s="33" t="s">
        <v>127</v>
      </c>
      <c r="AD15" s="33" t="s">
        <v>127</v>
      </c>
      <c r="AE15" s="33" t="s">
        <v>127</v>
      </c>
      <c r="AF15" s="33" t="s">
        <v>127</v>
      </c>
      <c r="AG15" s="33" t="s">
        <v>127</v>
      </c>
      <c r="AH15" s="33" t="s">
        <v>127</v>
      </c>
      <c r="AI15" s="33">
        <f t="shared" si="1"/>
        <v>0</v>
      </c>
      <c r="AJ15" s="33" t="str">
        <f t="shared" si="0"/>
        <v>Not Cleared</v>
      </c>
      <c r="AK15" s="33" t="s">
        <v>127</v>
      </c>
      <c r="AL15" s="33" t="s">
        <v>127</v>
      </c>
      <c r="AM15" s="33" t="s">
        <v>127</v>
      </c>
      <c r="AN15" s="33" t="s">
        <v>127</v>
      </c>
      <c r="AO15" s="33" t="s">
        <v>127</v>
      </c>
      <c r="AP15" s="33" t="s">
        <v>127</v>
      </c>
      <c r="AQ15" s="33" t="s">
        <v>127</v>
      </c>
      <c r="AR15" s="33" t="s">
        <v>127</v>
      </c>
      <c r="AS15" s="33">
        <f>SUM(AK15:AR15)/(8*5)*100</f>
        <v>0</v>
      </c>
      <c r="AT15" s="33" t="s">
        <v>128</v>
      </c>
      <c r="AU15" s="33" t="s">
        <v>128</v>
      </c>
      <c r="AV15" s="33" t="s">
        <v>128</v>
      </c>
      <c r="AW15" s="33" t="s">
        <v>128</v>
      </c>
      <c r="AX15" s="33" t="s">
        <v>128</v>
      </c>
      <c r="AY15" s="33">
        <f t="shared" si="3"/>
        <v>0</v>
      </c>
      <c r="AZ15" s="33" t="s">
        <v>129</v>
      </c>
    </row>
    <row r="16" spans="1:52" s="22" customFormat="1" x14ac:dyDescent="0.25">
      <c r="A16" s="39">
        <v>13</v>
      </c>
      <c r="B16" s="40">
        <v>6571213</v>
      </c>
      <c r="C16" s="40" t="s">
        <v>155</v>
      </c>
      <c r="D16" s="43" t="s">
        <v>156</v>
      </c>
      <c r="E16" s="40" t="s">
        <v>171</v>
      </c>
      <c r="F16" s="39"/>
      <c r="G16" s="33" t="s">
        <v>127</v>
      </c>
      <c r="H16" s="33" t="s">
        <v>127</v>
      </c>
      <c r="I16" s="33" t="s">
        <v>127</v>
      </c>
      <c r="J16" s="33" t="s">
        <v>127</v>
      </c>
      <c r="K16" s="33" t="s">
        <v>127</v>
      </c>
      <c r="L16" s="33" t="s">
        <v>127</v>
      </c>
      <c r="M16" s="33" t="s">
        <v>127</v>
      </c>
      <c r="N16" s="33" t="s">
        <v>127</v>
      </c>
      <c r="O16" s="33" t="s">
        <v>127</v>
      </c>
      <c r="P16" s="33" t="s">
        <v>127</v>
      </c>
      <c r="Q16" s="33" t="s">
        <v>127</v>
      </c>
      <c r="R16" s="33" t="s">
        <v>127</v>
      </c>
      <c r="S16" s="33" t="s">
        <v>127</v>
      </c>
      <c r="T16" s="33" t="s">
        <v>127</v>
      </c>
      <c r="U16" s="33" t="s">
        <v>127</v>
      </c>
      <c r="V16" s="33" t="s">
        <v>127</v>
      </c>
      <c r="W16" s="33" t="s">
        <v>127</v>
      </c>
      <c r="X16" s="33" t="s">
        <v>127</v>
      </c>
      <c r="Y16" s="33" t="s">
        <v>127</v>
      </c>
      <c r="Z16" s="33" t="s">
        <v>127</v>
      </c>
      <c r="AA16" s="33" t="s">
        <v>127</v>
      </c>
      <c r="AB16" s="33" t="s">
        <v>127</v>
      </c>
      <c r="AC16" s="33" t="s">
        <v>127</v>
      </c>
      <c r="AD16" s="33" t="s">
        <v>127</v>
      </c>
      <c r="AE16" s="33" t="s">
        <v>127</v>
      </c>
      <c r="AF16" s="33" t="s">
        <v>127</v>
      </c>
      <c r="AG16" s="33" t="s">
        <v>127</v>
      </c>
      <c r="AH16" s="33" t="s">
        <v>127</v>
      </c>
      <c r="AI16" s="33">
        <f t="shared" si="1"/>
        <v>0</v>
      </c>
      <c r="AJ16" s="33" t="str">
        <f t="shared" si="0"/>
        <v>Not Cleared</v>
      </c>
      <c r="AK16" s="33" t="s">
        <v>127</v>
      </c>
      <c r="AL16" s="33" t="s">
        <v>127</v>
      </c>
      <c r="AM16" s="33" t="s">
        <v>127</v>
      </c>
      <c r="AN16" s="33" t="s">
        <v>127</v>
      </c>
      <c r="AO16" s="33" t="s">
        <v>127</v>
      </c>
      <c r="AP16" s="33" t="s">
        <v>127</v>
      </c>
      <c r="AQ16" s="33" t="s">
        <v>127</v>
      </c>
      <c r="AR16" s="33" t="s">
        <v>127</v>
      </c>
      <c r="AS16" s="33">
        <f>SUM(AK16:AR16)/(8*5)*100</f>
        <v>0</v>
      </c>
      <c r="AT16" s="33" t="s">
        <v>128</v>
      </c>
      <c r="AU16" s="33" t="s">
        <v>128</v>
      </c>
      <c r="AV16" s="33" t="s">
        <v>128</v>
      </c>
      <c r="AW16" s="33" t="s">
        <v>128</v>
      </c>
      <c r="AX16" s="33" t="s">
        <v>128</v>
      </c>
      <c r="AY16" s="33">
        <f t="shared" si="3"/>
        <v>0</v>
      </c>
      <c r="AZ16" s="33" t="s">
        <v>129</v>
      </c>
    </row>
    <row r="17" spans="1:52" s="22" customFormat="1" x14ac:dyDescent="0.25">
      <c r="A17" s="39">
        <v>14</v>
      </c>
      <c r="B17" s="40">
        <v>6570849</v>
      </c>
      <c r="C17" s="40" t="s">
        <v>157</v>
      </c>
      <c r="D17" s="43" t="s">
        <v>158</v>
      </c>
      <c r="E17" s="40" t="s">
        <v>171</v>
      </c>
      <c r="F17" s="39"/>
      <c r="G17" s="33" t="s">
        <v>127</v>
      </c>
      <c r="H17" s="33" t="s">
        <v>127</v>
      </c>
      <c r="I17" s="33" t="s">
        <v>127</v>
      </c>
      <c r="J17" s="33" t="s">
        <v>127</v>
      </c>
      <c r="K17" s="33" t="s">
        <v>127</v>
      </c>
      <c r="L17" s="33" t="s">
        <v>127</v>
      </c>
      <c r="M17" s="33" t="s">
        <v>127</v>
      </c>
      <c r="N17" s="33" t="s">
        <v>127</v>
      </c>
      <c r="O17" s="33" t="s">
        <v>127</v>
      </c>
      <c r="P17" s="33" t="s">
        <v>127</v>
      </c>
      <c r="Q17" s="33" t="s">
        <v>127</v>
      </c>
      <c r="R17" s="33" t="s">
        <v>127</v>
      </c>
      <c r="S17" s="33" t="s">
        <v>127</v>
      </c>
      <c r="T17" s="33" t="s">
        <v>127</v>
      </c>
      <c r="U17" s="33" t="s">
        <v>127</v>
      </c>
      <c r="V17" s="33" t="s">
        <v>127</v>
      </c>
      <c r="W17" s="33" t="s">
        <v>127</v>
      </c>
      <c r="X17" s="33" t="s">
        <v>127</v>
      </c>
      <c r="Y17" s="33" t="s">
        <v>127</v>
      </c>
      <c r="Z17" s="33" t="s">
        <v>127</v>
      </c>
      <c r="AA17" s="33" t="s">
        <v>127</v>
      </c>
      <c r="AB17" s="33" t="s">
        <v>127</v>
      </c>
      <c r="AC17" s="33" t="s">
        <v>127</v>
      </c>
      <c r="AD17" s="33" t="s">
        <v>127</v>
      </c>
      <c r="AE17" s="33" t="s">
        <v>127</v>
      </c>
      <c r="AF17" s="33" t="s">
        <v>127</v>
      </c>
      <c r="AG17" s="33" t="s">
        <v>127</v>
      </c>
      <c r="AH17" s="33" t="s">
        <v>127</v>
      </c>
      <c r="AI17" s="33">
        <f t="shared" si="1"/>
        <v>0</v>
      </c>
      <c r="AJ17" s="33" t="str">
        <f t="shared" si="0"/>
        <v>Not Cleared</v>
      </c>
      <c r="AK17" s="33" t="s">
        <v>127</v>
      </c>
      <c r="AL17" s="33" t="s">
        <v>127</v>
      </c>
      <c r="AM17" s="33" t="s">
        <v>127</v>
      </c>
      <c r="AN17" s="33" t="s">
        <v>127</v>
      </c>
      <c r="AO17" s="33" t="s">
        <v>127</v>
      </c>
      <c r="AP17" s="33" t="s">
        <v>127</v>
      </c>
      <c r="AQ17" s="33" t="s">
        <v>127</v>
      </c>
      <c r="AR17" s="33" t="s">
        <v>127</v>
      </c>
      <c r="AS17" s="33">
        <f t="shared" si="2"/>
        <v>0</v>
      </c>
      <c r="AT17" s="33" t="s">
        <v>128</v>
      </c>
      <c r="AU17" s="33" t="s">
        <v>128</v>
      </c>
      <c r="AV17" s="33" t="s">
        <v>128</v>
      </c>
      <c r="AW17" s="33" t="s">
        <v>128</v>
      </c>
      <c r="AX17" s="33" t="s">
        <v>128</v>
      </c>
      <c r="AY17" s="33">
        <f t="shared" si="3"/>
        <v>0</v>
      </c>
      <c r="AZ17" s="33" t="s">
        <v>129</v>
      </c>
    </row>
    <row r="18" spans="1:52" s="22" customFormat="1" x14ac:dyDescent="0.25">
      <c r="A18" s="39">
        <v>15</v>
      </c>
      <c r="B18" s="40">
        <v>6571938</v>
      </c>
      <c r="C18" s="40" t="s">
        <v>159</v>
      </c>
      <c r="D18" s="43" t="s">
        <v>160</v>
      </c>
      <c r="E18" s="40" t="s">
        <v>171</v>
      </c>
      <c r="F18" s="39"/>
      <c r="G18" s="33" t="s">
        <v>127</v>
      </c>
      <c r="H18" s="33" t="s">
        <v>127</v>
      </c>
      <c r="I18" s="33" t="s">
        <v>127</v>
      </c>
      <c r="J18" s="33" t="s">
        <v>127</v>
      </c>
      <c r="K18" s="33" t="s">
        <v>127</v>
      </c>
      <c r="L18" s="33" t="s">
        <v>127</v>
      </c>
      <c r="M18" s="33" t="s">
        <v>127</v>
      </c>
      <c r="N18" s="33" t="s">
        <v>127</v>
      </c>
      <c r="O18" s="33" t="s">
        <v>127</v>
      </c>
      <c r="P18" s="33" t="s">
        <v>127</v>
      </c>
      <c r="Q18" s="33" t="s">
        <v>127</v>
      </c>
      <c r="R18" s="33" t="s">
        <v>127</v>
      </c>
      <c r="S18" s="33" t="s">
        <v>127</v>
      </c>
      <c r="T18" s="33" t="s">
        <v>127</v>
      </c>
      <c r="U18" s="33" t="s">
        <v>127</v>
      </c>
      <c r="V18" s="33" t="s">
        <v>127</v>
      </c>
      <c r="W18" s="33" t="s">
        <v>127</v>
      </c>
      <c r="X18" s="33" t="s">
        <v>127</v>
      </c>
      <c r="Y18" s="33" t="s">
        <v>127</v>
      </c>
      <c r="Z18" s="33" t="s">
        <v>127</v>
      </c>
      <c r="AA18" s="33" t="s">
        <v>127</v>
      </c>
      <c r="AB18" s="33" t="s">
        <v>127</v>
      </c>
      <c r="AC18" s="33" t="s">
        <v>127</v>
      </c>
      <c r="AD18" s="33" t="s">
        <v>127</v>
      </c>
      <c r="AE18" s="33" t="s">
        <v>127</v>
      </c>
      <c r="AF18" s="33" t="s">
        <v>127</v>
      </c>
      <c r="AG18" s="33" t="s">
        <v>127</v>
      </c>
      <c r="AH18" s="33" t="s">
        <v>127</v>
      </c>
      <c r="AI18" s="33">
        <f t="shared" si="1"/>
        <v>0</v>
      </c>
      <c r="AJ18" s="33" t="str">
        <f t="shared" si="0"/>
        <v>Not Cleared</v>
      </c>
      <c r="AK18" s="33" t="s">
        <v>127</v>
      </c>
      <c r="AL18" s="33" t="s">
        <v>127</v>
      </c>
      <c r="AM18" s="33" t="s">
        <v>127</v>
      </c>
      <c r="AN18" s="33" t="s">
        <v>127</v>
      </c>
      <c r="AO18" s="33" t="s">
        <v>127</v>
      </c>
      <c r="AP18" s="33" t="s">
        <v>127</v>
      </c>
      <c r="AQ18" s="33" t="s">
        <v>127</v>
      </c>
      <c r="AR18" s="33" t="s">
        <v>127</v>
      </c>
      <c r="AS18" s="33">
        <f t="shared" si="2"/>
        <v>0</v>
      </c>
      <c r="AT18" s="33" t="s">
        <v>128</v>
      </c>
      <c r="AU18" s="33" t="s">
        <v>128</v>
      </c>
      <c r="AV18" s="33" t="s">
        <v>128</v>
      </c>
      <c r="AW18" s="33" t="s">
        <v>128</v>
      </c>
      <c r="AX18" s="33" t="s">
        <v>128</v>
      </c>
      <c r="AY18" s="33">
        <f t="shared" si="3"/>
        <v>0</v>
      </c>
      <c r="AZ18" s="33" t="s">
        <v>129</v>
      </c>
    </row>
    <row r="19" spans="1:52" s="22" customFormat="1" x14ac:dyDescent="0.25">
      <c r="A19" s="39">
        <v>16</v>
      </c>
      <c r="B19" s="40">
        <v>6574511</v>
      </c>
      <c r="C19" s="40" t="s">
        <v>161</v>
      </c>
      <c r="D19" s="43" t="s">
        <v>162</v>
      </c>
      <c r="E19" s="40" t="s">
        <v>171</v>
      </c>
      <c r="F19" s="39"/>
      <c r="G19" s="33" t="s">
        <v>127</v>
      </c>
      <c r="H19" s="33" t="s">
        <v>127</v>
      </c>
      <c r="I19" s="33" t="s">
        <v>127</v>
      </c>
      <c r="J19" s="33" t="s">
        <v>127</v>
      </c>
      <c r="K19" s="33" t="s">
        <v>127</v>
      </c>
      <c r="L19" s="33" t="s">
        <v>127</v>
      </c>
      <c r="M19" s="33" t="s">
        <v>127</v>
      </c>
      <c r="N19" s="33" t="s">
        <v>127</v>
      </c>
      <c r="O19" s="33" t="s">
        <v>127</v>
      </c>
      <c r="P19" s="33" t="s">
        <v>127</v>
      </c>
      <c r="Q19" s="33" t="s">
        <v>127</v>
      </c>
      <c r="R19" s="33" t="s">
        <v>127</v>
      </c>
      <c r="S19" s="33" t="s">
        <v>127</v>
      </c>
      <c r="T19" s="33" t="s">
        <v>127</v>
      </c>
      <c r="U19" s="33" t="s">
        <v>127</v>
      </c>
      <c r="V19" s="33" t="s">
        <v>127</v>
      </c>
      <c r="W19" s="33" t="s">
        <v>127</v>
      </c>
      <c r="X19" s="33" t="s">
        <v>127</v>
      </c>
      <c r="Y19" s="33" t="s">
        <v>127</v>
      </c>
      <c r="Z19" s="33" t="s">
        <v>127</v>
      </c>
      <c r="AA19" s="33" t="s">
        <v>127</v>
      </c>
      <c r="AB19" s="33" t="s">
        <v>127</v>
      </c>
      <c r="AC19" s="33" t="s">
        <v>127</v>
      </c>
      <c r="AD19" s="33" t="s">
        <v>127</v>
      </c>
      <c r="AE19" s="33" t="s">
        <v>127</v>
      </c>
      <c r="AF19" s="33" t="s">
        <v>127</v>
      </c>
      <c r="AG19" s="33" t="s">
        <v>127</v>
      </c>
      <c r="AH19" s="33" t="s">
        <v>127</v>
      </c>
      <c r="AI19" s="33">
        <f t="shared" si="1"/>
        <v>0</v>
      </c>
      <c r="AJ19" s="33" t="str">
        <f t="shared" si="0"/>
        <v>Not Cleared</v>
      </c>
      <c r="AK19" s="33" t="s">
        <v>127</v>
      </c>
      <c r="AL19" s="33" t="s">
        <v>127</v>
      </c>
      <c r="AM19" s="33" t="s">
        <v>127</v>
      </c>
      <c r="AN19" s="33" t="s">
        <v>127</v>
      </c>
      <c r="AO19" s="33" t="s">
        <v>127</v>
      </c>
      <c r="AP19" s="33" t="s">
        <v>127</v>
      </c>
      <c r="AQ19" s="33" t="s">
        <v>127</v>
      </c>
      <c r="AR19" s="33" t="s">
        <v>127</v>
      </c>
      <c r="AS19" s="33">
        <f>SUM(AK19:AR19)/(8*5)*100</f>
        <v>0</v>
      </c>
      <c r="AT19" s="33" t="s">
        <v>128</v>
      </c>
      <c r="AU19" s="33" t="s">
        <v>128</v>
      </c>
      <c r="AV19" s="33" t="s">
        <v>128</v>
      </c>
      <c r="AW19" s="33" t="s">
        <v>128</v>
      </c>
      <c r="AX19" s="33" t="s">
        <v>128</v>
      </c>
      <c r="AY19" s="33">
        <f t="shared" si="3"/>
        <v>0</v>
      </c>
      <c r="AZ19" s="33" t="s">
        <v>129</v>
      </c>
    </row>
    <row r="20" spans="1:52" s="22" customFormat="1" x14ac:dyDescent="0.25">
      <c r="A20" s="39">
        <v>17</v>
      </c>
      <c r="B20" s="40">
        <v>6575163</v>
      </c>
      <c r="C20" s="40" t="s">
        <v>163</v>
      </c>
      <c r="D20" s="43" t="s">
        <v>164</v>
      </c>
      <c r="E20" s="40" t="s">
        <v>171</v>
      </c>
      <c r="F20" s="39"/>
      <c r="G20" s="33" t="s">
        <v>127</v>
      </c>
      <c r="H20" s="33" t="s">
        <v>127</v>
      </c>
      <c r="I20" s="33" t="s">
        <v>127</v>
      </c>
      <c r="J20" s="33" t="s">
        <v>127</v>
      </c>
      <c r="K20" s="33" t="s">
        <v>127</v>
      </c>
      <c r="L20" s="33" t="s">
        <v>127</v>
      </c>
      <c r="M20" s="33" t="s">
        <v>127</v>
      </c>
      <c r="N20" s="33" t="s">
        <v>127</v>
      </c>
      <c r="O20" s="33" t="s">
        <v>127</v>
      </c>
      <c r="P20" s="33" t="s">
        <v>127</v>
      </c>
      <c r="Q20" s="33" t="s">
        <v>127</v>
      </c>
      <c r="R20" s="33" t="s">
        <v>127</v>
      </c>
      <c r="S20" s="33" t="s">
        <v>127</v>
      </c>
      <c r="T20" s="33" t="s">
        <v>127</v>
      </c>
      <c r="U20" s="33" t="s">
        <v>127</v>
      </c>
      <c r="V20" s="33" t="s">
        <v>127</v>
      </c>
      <c r="W20" s="33" t="s">
        <v>127</v>
      </c>
      <c r="X20" s="33" t="s">
        <v>127</v>
      </c>
      <c r="Y20" s="33" t="s">
        <v>127</v>
      </c>
      <c r="Z20" s="33" t="s">
        <v>127</v>
      </c>
      <c r="AA20" s="33" t="s">
        <v>127</v>
      </c>
      <c r="AB20" s="33" t="s">
        <v>127</v>
      </c>
      <c r="AC20" s="33" t="s">
        <v>127</v>
      </c>
      <c r="AD20" s="33" t="s">
        <v>127</v>
      </c>
      <c r="AE20" s="33" t="s">
        <v>127</v>
      </c>
      <c r="AF20" s="33" t="s">
        <v>127</v>
      </c>
      <c r="AG20" s="33" t="s">
        <v>127</v>
      </c>
      <c r="AH20" s="33" t="s">
        <v>127</v>
      </c>
      <c r="AI20" s="33">
        <f t="shared" si="1"/>
        <v>0</v>
      </c>
      <c r="AJ20" s="33" t="str">
        <f t="shared" si="0"/>
        <v>Not Cleared</v>
      </c>
      <c r="AK20" s="33" t="s">
        <v>127</v>
      </c>
      <c r="AL20" s="33" t="s">
        <v>127</v>
      </c>
      <c r="AM20" s="33" t="s">
        <v>127</v>
      </c>
      <c r="AN20" s="33" t="s">
        <v>127</v>
      </c>
      <c r="AO20" s="33" t="s">
        <v>127</v>
      </c>
      <c r="AP20" s="33" t="s">
        <v>127</v>
      </c>
      <c r="AQ20" s="33" t="s">
        <v>127</v>
      </c>
      <c r="AR20" s="33" t="s">
        <v>127</v>
      </c>
      <c r="AS20" s="33">
        <f t="shared" si="2"/>
        <v>0</v>
      </c>
      <c r="AT20" s="33" t="s">
        <v>128</v>
      </c>
      <c r="AU20" s="33" t="s">
        <v>128</v>
      </c>
      <c r="AV20" s="33" t="s">
        <v>128</v>
      </c>
      <c r="AW20" s="33" t="s">
        <v>128</v>
      </c>
      <c r="AX20" s="33" t="s">
        <v>128</v>
      </c>
      <c r="AY20" s="33">
        <f t="shared" si="3"/>
        <v>0</v>
      </c>
      <c r="AZ20" s="33" t="s">
        <v>129</v>
      </c>
    </row>
    <row r="21" spans="1:52" s="22" customFormat="1" x14ac:dyDescent="0.25">
      <c r="A21" s="39">
        <v>18</v>
      </c>
      <c r="B21" s="40">
        <v>6375194</v>
      </c>
      <c r="C21" s="40" t="s">
        <v>165</v>
      </c>
      <c r="D21" s="43" t="s">
        <v>166</v>
      </c>
      <c r="E21" s="40" t="s">
        <v>171</v>
      </c>
      <c r="F21" s="39"/>
      <c r="G21" s="33" t="s">
        <v>127</v>
      </c>
      <c r="H21" s="33" t="s">
        <v>127</v>
      </c>
      <c r="I21" s="33" t="s">
        <v>127</v>
      </c>
      <c r="J21" s="33" t="s">
        <v>127</v>
      </c>
      <c r="K21" s="33" t="s">
        <v>127</v>
      </c>
      <c r="L21" s="33" t="s">
        <v>127</v>
      </c>
      <c r="M21" s="33" t="s">
        <v>127</v>
      </c>
      <c r="N21" s="33" t="s">
        <v>127</v>
      </c>
      <c r="O21" s="33" t="s">
        <v>127</v>
      </c>
      <c r="P21" s="33" t="s">
        <v>127</v>
      </c>
      <c r="Q21" s="33" t="s">
        <v>127</v>
      </c>
      <c r="R21" s="33" t="s">
        <v>127</v>
      </c>
      <c r="S21" s="33" t="s">
        <v>127</v>
      </c>
      <c r="T21" s="33" t="s">
        <v>127</v>
      </c>
      <c r="U21" s="33" t="s">
        <v>127</v>
      </c>
      <c r="V21" s="33" t="s">
        <v>127</v>
      </c>
      <c r="W21" s="33" t="s">
        <v>127</v>
      </c>
      <c r="X21" s="33" t="s">
        <v>127</v>
      </c>
      <c r="Y21" s="33" t="s">
        <v>127</v>
      </c>
      <c r="Z21" s="33" t="s">
        <v>127</v>
      </c>
      <c r="AA21" s="33" t="s">
        <v>127</v>
      </c>
      <c r="AB21" s="33" t="s">
        <v>127</v>
      </c>
      <c r="AC21" s="33" t="s">
        <v>127</v>
      </c>
      <c r="AD21" s="33" t="s">
        <v>127</v>
      </c>
      <c r="AE21" s="33" t="s">
        <v>127</v>
      </c>
      <c r="AF21" s="33" t="s">
        <v>127</v>
      </c>
      <c r="AG21" s="33" t="s">
        <v>127</v>
      </c>
      <c r="AH21" s="33" t="s">
        <v>127</v>
      </c>
      <c r="AI21" s="33">
        <f t="shared" si="1"/>
        <v>0</v>
      </c>
      <c r="AJ21" s="33" t="str">
        <f t="shared" si="0"/>
        <v>Not Cleared</v>
      </c>
      <c r="AK21" s="33" t="s">
        <v>127</v>
      </c>
      <c r="AL21" s="33" t="s">
        <v>127</v>
      </c>
      <c r="AM21" s="33" t="s">
        <v>127</v>
      </c>
      <c r="AN21" s="33" t="s">
        <v>127</v>
      </c>
      <c r="AO21" s="33" t="s">
        <v>127</v>
      </c>
      <c r="AP21" s="33" t="s">
        <v>127</v>
      </c>
      <c r="AQ21" s="33" t="s">
        <v>127</v>
      </c>
      <c r="AR21" s="33" t="s">
        <v>127</v>
      </c>
      <c r="AS21" s="33">
        <f>SUM(AK21:AR21)/(8*5)*100</f>
        <v>0</v>
      </c>
      <c r="AT21" s="33" t="s">
        <v>128</v>
      </c>
      <c r="AU21" s="33" t="s">
        <v>128</v>
      </c>
      <c r="AV21" s="33" t="s">
        <v>128</v>
      </c>
      <c r="AW21" s="33" t="s">
        <v>128</v>
      </c>
      <c r="AX21" s="33" t="s">
        <v>128</v>
      </c>
      <c r="AY21" s="33">
        <f t="shared" si="3"/>
        <v>0</v>
      </c>
      <c r="AZ21" s="33" t="s">
        <v>129</v>
      </c>
    </row>
    <row r="22" spans="1:52" s="22" customFormat="1" x14ac:dyDescent="0.25">
      <c r="A22" s="39">
        <v>19</v>
      </c>
      <c r="B22" s="40">
        <v>6398084</v>
      </c>
      <c r="C22" s="40" t="s">
        <v>167</v>
      </c>
      <c r="D22" s="43" t="s">
        <v>168</v>
      </c>
      <c r="E22" s="40" t="s">
        <v>171</v>
      </c>
      <c r="F22" s="39"/>
      <c r="G22" s="33" t="s">
        <v>127</v>
      </c>
      <c r="H22" s="33" t="s">
        <v>127</v>
      </c>
      <c r="I22" s="33" t="s">
        <v>127</v>
      </c>
      <c r="J22" s="33" t="s">
        <v>127</v>
      </c>
      <c r="K22" s="33" t="s">
        <v>127</v>
      </c>
      <c r="L22" s="33" t="s">
        <v>127</v>
      </c>
      <c r="M22" s="33" t="s">
        <v>127</v>
      </c>
      <c r="N22" s="33" t="s">
        <v>127</v>
      </c>
      <c r="O22" s="33" t="s">
        <v>127</v>
      </c>
      <c r="P22" s="33" t="s">
        <v>127</v>
      </c>
      <c r="Q22" s="33" t="s">
        <v>127</v>
      </c>
      <c r="R22" s="33" t="s">
        <v>127</v>
      </c>
      <c r="S22" s="33" t="s">
        <v>127</v>
      </c>
      <c r="T22" s="33" t="s">
        <v>127</v>
      </c>
      <c r="U22" s="33" t="s">
        <v>127</v>
      </c>
      <c r="V22" s="33" t="s">
        <v>127</v>
      </c>
      <c r="W22" s="33" t="s">
        <v>127</v>
      </c>
      <c r="X22" s="33" t="s">
        <v>127</v>
      </c>
      <c r="Y22" s="33" t="s">
        <v>127</v>
      </c>
      <c r="Z22" s="33" t="s">
        <v>127</v>
      </c>
      <c r="AA22" s="33" t="s">
        <v>127</v>
      </c>
      <c r="AB22" s="33" t="s">
        <v>127</v>
      </c>
      <c r="AC22" s="33" t="s">
        <v>127</v>
      </c>
      <c r="AD22" s="33" t="s">
        <v>127</v>
      </c>
      <c r="AE22" s="33" t="s">
        <v>127</v>
      </c>
      <c r="AF22" s="33" t="s">
        <v>127</v>
      </c>
      <c r="AG22" s="33" t="s">
        <v>127</v>
      </c>
      <c r="AH22" s="33" t="s">
        <v>127</v>
      </c>
      <c r="AI22" s="33">
        <f t="shared" si="1"/>
        <v>0</v>
      </c>
      <c r="AJ22" s="33" t="str">
        <f t="shared" si="0"/>
        <v>Not Cleared</v>
      </c>
      <c r="AK22" s="33" t="s">
        <v>127</v>
      </c>
      <c r="AL22" s="33" t="s">
        <v>127</v>
      </c>
      <c r="AM22" s="33" t="s">
        <v>127</v>
      </c>
      <c r="AN22" s="33" t="s">
        <v>127</v>
      </c>
      <c r="AO22" s="33" t="s">
        <v>127</v>
      </c>
      <c r="AP22" s="33" t="s">
        <v>127</v>
      </c>
      <c r="AQ22" s="33" t="s">
        <v>127</v>
      </c>
      <c r="AR22" s="33" t="s">
        <v>127</v>
      </c>
      <c r="AS22" s="33">
        <f t="shared" si="2"/>
        <v>0</v>
      </c>
      <c r="AT22" s="33" t="s">
        <v>128</v>
      </c>
      <c r="AU22" s="33" t="s">
        <v>128</v>
      </c>
      <c r="AV22" s="33" t="s">
        <v>128</v>
      </c>
      <c r="AW22" s="33" t="s">
        <v>128</v>
      </c>
      <c r="AX22" s="33" t="s">
        <v>128</v>
      </c>
      <c r="AY22" s="33">
        <f t="shared" si="3"/>
        <v>0</v>
      </c>
      <c r="AZ22" s="33" t="s">
        <v>129</v>
      </c>
    </row>
    <row r="23" spans="1:52" s="22" customFormat="1" x14ac:dyDescent="0.25">
      <c r="A23" s="39">
        <v>20</v>
      </c>
      <c r="B23" s="40">
        <v>6629670</v>
      </c>
      <c r="C23" s="40" t="s">
        <v>169</v>
      </c>
      <c r="D23" s="43" t="s">
        <v>170</v>
      </c>
      <c r="E23" s="40" t="s">
        <v>171</v>
      </c>
      <c r="F23" s="39"/>
      <c r="G23" s="33" t="s">
        <v>127</v>
      </c>
      <c r="H23" s="33" t="s">
        <v>127</v>
      </c>
      <c r="I23" s="33" t="s">
        <v>127</v>
      </c>
      <c r="J23" s="33" t="s">
        <v>127</v>
      </c>
      <c r="K23" s="33" t="s">
        <v>127</v>
      </c>
      <c r="L23" s="33" t="s">
        <v>127</v>
      </c>
      <c r="M23" s="33" t="s">
        <v>127</v>
      </c>
      <c r="N23" s="33" t="s">
        <v>127</v>
      </c>
      <c r="O23" s="33" t="s">
        <v>127</v>
      </c>
      <c r="P23" s="33" t="s">
        <v>127</v>
      </c>
      <c r="Q23" s="33" t="s">
        <v>127</v>
      </c>
      <c r="R23" s="33" t="s">
        <v>127</v>
      </c>
      <c r="S23" s="33" t="s">
        <v>127</v>
      </c>
      <c r="T23" s="33" t="s">
        <v>127</v>
      </c>
      <c r="U23" s="33" t="s">
        <v>127</v>
      </c>
      <c r="V23" s="33" t="s">
        <v>127</v>
      </c>
      <c r="W23" s="33" t="s">
        <v>127</v>
      </c>
      <c r="X23" s="33" t="s">
        <v>127</v>
      </c>
      <c r="Y23" s="33" t="s">
        <v>127</v>
      </c>
      <c r="Z23" s="33" t="s">
        <v>127</v>
      </c>
      <c r="AA23" s="33" t="s">
        <v>127</v>
      </c>
      <c r="AB23" s="33" t="s">
        <v>127</v>
      </c>
      <c r="AC23" s="33" t="s">
        <v>127</v>
      </c>
      <c r="AD23" s="33" t="s">
        <v>127</v>
      </c>
      <c r="AE23" s="33" t="s">
        <v>127</v>
      </c>
      <c r="AF23" s="33" t="s">
        <v>127</v>
      </c>
      <c r="AG23" s="33" t="s">
        <v>127</v>
      </c>
      <c r="AH23" s="33" t="s">
        <v>127</v>
      </c>
      <c r="AI23" s="33">
        <f t="shared" si="1"/>
        <v>0</v>
      </c>
      <c r="AJ23" s="33" t="str">
        <f t="shared" si="0"/>
        <v>Not Cleared</v>
      </c>
      <c r="AK23" s="33" t="s">
        <v>127</v>
      </c>
      <c r="AL23" s="33" t="s">
        <v>127</v>
      </c>
      <c r="AM23" s="33" t="s">
        <v>127</v>
      </c>
      <c r="AN23" s="33" t="s">
        <v>127</v>
      </c>
      <c r="AO23" s="33" t="s">
        <v>127</v>
      </c>
      <c r="AP23" s="33" t="s">
        <v>127</v>
      </c>
      <c r="AQ23" s="33" t="s">
        <v>127</v>
      </c>
      <c r="AR23" s="33" t="s">
        <v>127</v>
      </c>
      <c r="AS23" s="33">
        <f>SUM(AK23:AR23)/(8*5)*100</f>
        <v>0</v>
      </c>
      <c r="AT23" s="33" t="s">
        <v>128</v>
      </c>
      <c r="AU23" s="33" t="s">
        <v>128</v>
      </c>
      <c r="AV23" s="33" t="s">
        <v>128</v>
      </c>
      <c r="AW23" s="33" t="s">
        <v>128</v>
      </c>
      <c r="AX23" s="33" t="s">
        <v>128</v>
      </c>
      <c r="AY23" s="33">
        <f t="shared" si="3"/>
        <v>0</v>
      </c>
      <c r="AZ23" s="33" t="s">
        <v>129</v>
      </c>
    </row>
    <row r="24" spans="1:52" s="22" customFormat="1" x14ac:dyDescent="0.25">
      <c r="A24" s="23"/>
      <c r="B24" s="23"/>
      <c r="C24" s="24"/>
      <c r="D24" s="24"/>
      <c r="E24" s="23"/>
      <c r="F24" s="23"/>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3"/>
      <c r="AK24" s="25"/>
      <c r="AL24" s="25"/>
      <c r="AM24" s="25"/>
      <c r="AN24" s="25"/>
      <c r="AO24" s="25"/>
      <c r="AP24" s="25"/>
      <c r="AQ24" s="25"/>
      <c r="AR24" s="25"/>
      <c r="AS24" s="25"/>
      <c r="AT24" s="25"/>
      <c r="AU24" s="25"/>
      <c r="AV24" s="25"/>
      <c r="AW24" s="25"/>
      <c r="AX24" s="25"/>
      <c r="AY24" s="25"/>
      <c r="AZ24" s="26"/>
    </row>
    <row r="25" spans="1:52" s="22" customFormat="1" x14ac:dyDescent="0.25">
      <c r="A25" s="23"/>
      <c r="B25" s="23"/>
      <c r="C25" s="24"/>
      <c r="D25" s="24"/>
      <c r="E25" s="23"/>
      <c r="F25" s="23"/>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3"/>
      <c r="AK25" s="25"/>
      <c r="AL25" s="25"/>
      <c r="AM25" s="25"/>
      <c r="AN25" s="25"/>
      <c r="AO25" s="25"/>
      <c r="AP25" s="25"/>
      <c r="AQ25" s="25"/>
      <c r="AR25" s="25"/>
      <c r="AS25" s="25"/>
      <c r="AT25" s="25"/>
      <c r="AU25" s="25"/>
      <c r="AV25" s="25"/>
      <c r="AW25" s="25"/>
      <c r="AX25" s="25"/>
      <c r="AY25" s="25"/>
      <c r="AZ25" s="26"/>
    </row>
    <row r="26" spans="1:52" s="22" customFormat="1" x14ac:dyDescent="0.25">
      <c r="A26" s="23"/>
      <c r="B26" s="23"/>
      <c r="C26" s="24"/>
      <c r="D26" s="24"/>
      <c r="E26" s="23"/>
      <c r="F26" s="23"/>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3"/>
      <c r="AK26" s="25"/>
      <c r="AL26" s="25"/>
      <c r="AM26" s="25"/>
      <c r="AN26" s="25"/>
      <c r="AO26" s="25"/>
      <c r="AP26" s="25"/>
      <c r="AQ26" s="25"/>
      <c r="AR26" s="25"/>
      <c r="AS26" s="25"/>
      <c r="AT26" s="25"/>
      <c r="AU26" s="25"/>
      <c r="AV26" s="25"/>
      <c r="AW26" s="25"/>
      <c r="AX26" s="25"/>
      <c r="AY26" s="25"/>
      <c r="AZ26" s="26"/>
    </row>
    <row r="27" spans="1:52" s="22" customFormat="1" x14ac:dyDescent="0.25">
      <c r="A27" s="23"/>
      <c r="B27" s="23"/>
      <c r="C27" s="24"/>
      <c r="D27" s="24"/>
      <c r="E27" s="23"/>
      <c r="F27" s="23"/>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3"/>
      <c r="AK27" s="25"/>
      <c r="AL27" s="25"/>
      <c r="AM27" s="25"/>
      <c r="AN27" s="25"/>
      <c r="AO27" s="25"/>
      <c r="AP27" s="25"/>
      <c r="AQ27" s="25"/>
      <c r="AR27" s="25"/>
      <c r="AS27" s="25"/>
      <c r="AT27" s="25"/>
      <c r="AU27" s="25"/>
      <c r="AV27" s="25"/>
      <c r="AW27" s="25"/>
      <c r="AX27" s="25"/>
      <c r="AY27" s="25"/>
      <c r="AZ27" s="26"/>
    </row>
    <row r="28" spans="1:52" s="22" customFormat="1" x14ac:dyDescent="0.25">
      <c r="A28" s="23"/>
      <c r="B28" s="23"/>
      <c r="C28" s="24"/>
      <c r="D28" s="24"/>
      <c r="E28" s="23"/>
      <c r="F28" s="23"/>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3"/>
      <c r="AK28" s="25"/>
      <c r="AL28" s="25"/>
      <c r="AM28" s="25"/>
      <c r="AN28" s="25"/>
      <c r="AO28" s="25"/>
      <c r="AP28" s="25"/>
      <c r="AQ28" s="25"/>
      <c r="AR28" s="25"/>
      <c r="AS28" s="25"/>
      <c r="AT28" s="25"/>
      <c r="AU28" s="25"/>
      <c r="AV28" s="25"/>
      <c r="AW28" s="25"/>
      <c r="AX28" s="25"/>
      <c r="AY28" s="25"/>
      <c r="AZ28" s="26"/>
    </row>
    <row r="29" spans="1:52" s="22" customFormat="1" x14ac:dyDescent="0.25">
      <c r="A29" s="23"/>
      <c r="B29" s="23"/>
      <c r="C29" s="24"/>
      <c r="D29" s="24"/>
      <c r="E29" s="23"/>
      <c r="F29" s="23"/>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3"/>
      <c r="AK29" s="25"/>
      <c r="AL29" s="25"/>
      <c r="AM29" s="25"/>
      <c r="AN29" s="25"/>
      <c r="AO29" s="25"/>
      <c r="AP29" s="25"/>
      <c r="AQ29" s="25"/>
      <c r="AR29" s="25"/>
      <c r="AS29" s="25"/>
      <c r="AT29" s="25"/>
      <c r="AU29" s="25"/>
      <c r="AV29" s="25"/>
      <c r="AW29" s="25"/>
      <c r="AX29" s="25"/>
      <c r="AY29" s="25"/>
      <c r="AZ29" s="26"/>
    </row>
    <row r="30" spans="1:52" s="22" customFormat="1" x14ac:dyDescent="0.25">
      <c r="A30" s="23"/>
      <c r="B30" s="23"/>
      <c r="C30" s="24"/>
      <c r="D30" s="24"/>
      <c r="E30" s="23"/>
      <c r="F30" s="23"/>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3"/>
      <c r="AK30" s="25"/>
      <c r="AL30" s="25"/>
      <c r="AM30" s="25"/>
      <c r="AN30" s="25"/>
      <c r="AO30" s="25"/>
      <c r="AP30" s="25"/>
      <c r="AQ30" s="25"/>
      <c r="AR30" s="25"/>
      <c r="AS30" s="25"/>
      <c r="AT30" s="25"/>
      <c r="AU30" s="25"/>
      <c r="AV30" s="25"/>
      <c r="AW30" s="25"/>
      <c r="AX30" s="25"/>
      <c r="AY30" s="25"/>
      <c r="AZ30" s="26"/>
    </row>
    <row r="31" spans="1:52" s="22" customFormat="1" x14ac:dyDescent="0.25">
      <c r="A31" s="23"/>
      <c r="B31" s="23"/>
      <c r="C31" s="24"/>
      <c r="D31" s="24"/>
      <c r="E31" s="23"/>
      <c r="F31" s="23"/>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3"/>
      <c r="AK31" s="25"/>
      <c r="AL31" s="25"/>
      <c r="AM31" s="25"/>
      <c r="AN31" s="25"/>
      <c r="AO31" s="25"/>
      <c r="AP31" s="25"/>
      <c r="AQ31" s="25"/>
      <c r="AR31" s="25"/>
      <c r="AS31" s="25"/>
      <c r="AT31" s="25"/>
      <c r="AU31" s="25"/>
      <c r="AV31" s="25"/>
      <c r="AW31" s="25"/>
      <c r="AX31" s="25"/>
      <c r="AY31" s="25"/>
      <c r="AZ31" s="26"/>
    </row>
    <row r="32" spans="1:52" s="22" customFormat="1" x14ac:dyDescent="0.25">
      <c r="A32" s="23"/>
      <c r="B32" s="23"/>
      <c r="C32" s="24"/>
      <c r="D32" s="24"/>
      <c r="E32" s="23"/>
      <c r="F32" s="23"/>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3"/>
      <c r="AK32" s="25"/>
      <c r="AL32" s="25"/>
      <c r="AM32" s="25"/>
      <c r="AN32" s="25"/>
      <c r="AO32" s="25"/>
      <c r="AP32" s="25"/>
      <c r="AQ32" s="25"/>
      <c r="AR32" s="25"/>
      <c r="AS32" s="25"/>
      <c r="AT32" s="25"/>
      <c r="AU32" s="25"/>
      <c r="AV32" s="25"/>
      <c r="AW32" s="25"/>
      <c r="AX32" s="25"/>
      <c r="AY32" s="25"/>
      <c r="AZ32" s="26"/>
    </row>
    <row r="33" spans="1:52" s="22" customFormat="1" x14ac:dyDescent="0.25">
      <c r="A33" s="23"/>
      <c r="B33" s="23"/>
      <c r="C33" s="24"/>
      <c r="D33" s="24"/>
      <c r="E33" s="23"/>
      <c r="F33" s="23"/>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3"/>
      <c r="AK33" s="25"/>
      <c r="AL33" s="25"/>
      <c r="AM33" s="25"/>
      <c r="AN33" s="25"/>
      <c r="AO33" s="25"/>
      <c r="AP33" s="25"/>
      <c r="AQ33" s="25"/>
      <c r="AR33" s="25"/>
      <c r="AS33" s="25"/>
      <c r="AT33" s="25"/>
      <c r="AU33" s="25"/>
      <c r="AV33" s="25"/>
      <c r="AW33" s="25"/>
      <c r="AX33" s="25"/>
      <c r="AY33" s="25"/>
      <c r="AZ33" s="26"/>
    </row>
    <row r="34" spans="1:52" s="22" customFormat="1" x14ac:dyDescent="0.25">
      <c r="A34" s="23"/>
      <c r="B34" s="23"/>
      <c r="C34" s="24"/>
      <c r="D34" s="24"/>
      <c r="E34" s="23"/>
      <c r="F34" s="23"/>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3"/>
      <c r="AK34" s="25"/>
      <c r="AL34" s="25"/>
      <c r="AM34" s="25"/>
      <c r="AN34" s="25"/>
      <c r="AO34" s="25"/>
      <c r="AP34" s="25"/>
      <c r="AQ34" s="25"/>
      <c r="AR34" s="25"/>
      <c r="AS34" s="25"/>
      <c r="AT34" s="25"/>
      <c r="AU34" s="25"/>
      <c r="AV34" s="25"/>
      <c r="AW34" s="25"/>
      <c r="AX34" s="25"/>
      <c r="AY34" s="25"/>
      <c r="AZ34" s="26"/>
    </row>
    <row r="35" spans="1:52" s="22" customFormat="1" x14ac:dyDescent="0.25">
      <c r="A35" s="23"/>
      <c r="B35" s="23"/>
      <c r="C35" s="24"/>
      <c r="D35" s="24"/>
      <c r="E35" s="23"/>
      <c r="F35" s="23"/>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3"/>
      <c r="AK35" s="25"/>
      <c r="AL35" s="25"/>
      <c r="AM35" s="25"/>
      <c r="AN35" s="25"/>
      <c r="AO35" s="25"/>
      <c r="AP35" s="25"/>
      <c r="AQ35" s="25"/>
      <c r="AR35" s="25"/>
      <c r="AS35" s="25"/>
      <c r="AT35" s="25"/>
      <c r="AU35" s="25"/>
      <c r="AV35" s="25"/>
      <c r="AW35" s="25"/>
      <c r="AX35" s="25"/>
      <c r="AY35" s="25"/>
      <c r="AZ35" s="26"/>
    </row>
    <row r="36" spans="1:52" s="22" customFormat="1" x14ac:dyDescent="0.25">
      <c r="A36" s="23"/>
      <c r="B36" s="23"/>
      <c r="C36" s="24"/>
      <c r="D36" s="24"/>
      <c r="E36" s="23"/>
      <c r="F36" s="23"/>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3"/>
      <c r="AK36" s="25"/>
      <c r="AL36" s="25"/>
      <c r="AM36" s="25"/>
      <c r="AN36" s="25"/>
      <c r="AO36" s="25"/>
      <c r="AP36" s="25"/>
      <c r="AQ36" s="25"/>
      <c r="AR36" s="25"/>
      <c r="AS36" s="25"/>
      <c r="AT36" s="25"/>
      <c r="AU36" s="25"/>
      <c r="AV36" s="25"/>
      <c r="AW36" s="25"/>
      <c r="AX36" s="25"/>
      <c r="AY36" s="25"/>
      <c r="AZ36" s="26"/>
    </row>
    <row r="37" spans="1:52" s="22" customFormat="1" x14ac:dyDescent="0.25">
      <c r="A37" s="23"/>
      <c r="B37" s="23"/>
      <c r="C37" s="24"/>
      <c r="D37" s="24"/>
      <c r="E37" s="23"/>
      <c r="F37" s="23"/>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3"/>
      <c r="AK37" s="25"/>
      <c r="AL37" s="25"/>
      <c r="AM37" s="25"/>
      <c r="AN37" s="25"/>
      <c r="AO37" s="25"/>
      <c r="AP37" s="25"/>
      <c r="AQ37" s="25"/>
      <c r="AR37" s="25"/>
      <c r="AS37" s="25"/>
      <c r="AT37" s="25"/>
      <c r="AU37" s="25"/>
      <c r="AV37" s="25"/>
      <c r="AW37" s="25"/>
      <c r="AX37" s="25"/>
      <c r="AY37" s="25"/>
      <c r="AZ37" s="26"/>
    </row>
    <row r="38" spans="1:52" s="22" customFormat="1" x14ac:dyDescent="0.25">
      <c r="A38" s="23"/>
      <c r="B38" s="23"/>
      <c r="C38" s="24"/>
      <c r="D38" s="24"/>
      <c r="E38" s="23"/>
      <c r="F38" s="23"/>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3"/>
      <c r="AK38" s="25"/>
      <c r="AL38" s="25"/>
      <c r="AM38" s="25"/>
      <c r="AN38" s="25"/>
      <c r="AO38" s="25"/>
      <c r="AP38" s="25"/>
      <c r="AQ38" s="25"/>
      <c r="AR38" s="25"/>
      <c r="AS38" s="25"/>
      <c r="AT38" s="25"/>
      <c r="AU38" s="25"/>
      <c r="AV38" s="25"/>
      <c r="AW38" s="25"/>
      <c r="AX38" s="25"/>
      <c r="AY38" s="25"/>
      <c r="AZ38" s="26"/>
    </row>
    <row r="39" spans="1:52" s="22" customFormat="1" x14ac:dyDescent="0.25">
      <c r="A39" s="23"/>
      <c r="B39" s="23"/>
      <c r="C39" s="24"/>
      <c r="D39" s="24"/>
      <c r="E39" s="23"/>
      <c r="F39" s="23"/>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3"/>
      <c r="AK39" s="25"/>
      <c r="AL39" s="25"/>
      <c r="AM39" s="25"/>
      <c r="AN39" s="25"/>
      <c r="AO39" s="25"/>
      <c r="AP39" s="25"/>
      <c r="AQ39" s="25"/>
      <c r="AR39" s="25"/>
      <c r="AS39" s="25"/>
      <c r="AT39" s="25"/>
      <c r="AU39" s="25"/>
      <c r="AV39" s="25"/>
      <c r="AW39" s="25"/>
      <c r="AX39" s="25"/>
      <c r="AY39" s="25"/>
      <c r="AZ39" s="26"/>
    </row>
    <row r="40" spans="1:52" s="22" customFormat="1" x14ac:dyDescent="0.25">
      <c r="A40" s="23"/>
      <c r="B40" s="23"/>
      <c r="C40" s="24"/>
      <c r="D40" s="24"/>
      <c r="E40" s="23"/>
      <c r="F40" s="23"/>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3"/>
      <c r="AK40" s="25"/>
      <c r="AL40" s="25"/>
      <c r="AM40" s="25"/>
      <c r="AN40" s="25"/>
      <c r="AO40" s="25"/>
      <c r="AP40" s="25"/>
      <c r="AQ40" s="25"/>
      <c r="AR40" s="25"/>
      <c r="AS40" s="25"/>
      <c r="AT40" s="25"/>
      <c r="AU40" s="25"/>
      <c r="AV40" s="25"/>
      <c r="AW40" s="25"/>
      <c r="AX40" s="25"/>
      <c r="AY40" s="25"/>
      <c r="AZ40" s="26"/>
    </row>
    <row r="41" spans="1:52" s="22" customFormat="1" x14ac:dyDescent="0.25">
      <c r="A41" s="23"/>
      <c r="B41" s="23"/>
      <c r="C41" s="24"/>
      <c r="D41" s="24"/>
      <c r="E41" s="23"/>
      <c r="F41" s="23"/>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3"/>
      <c r="AK41" s="25"/>
      <c r="AL41" s="25"/>
      <c r="AM41" s="25"/>
      <c r="AN41" s="25"/>
      <c r="AO41" s="25"/>
      <c r="AP41" s="25"/>
      <c r="AQ41" s="25"/>
      <c r="AR41" s="25"/>
      <c r="AS41" s="25"/>
      <c r="AT41" s="25"/>
      <c r="AU41" s="25"/>
      <c r="AV41" s="25"/>
      <c r="AW41" s="25"/>
      <c r="AX41" s="25"/>
      <c r="AY41" s="25"/>
      <c r="AZ41" s="26"/>
    </row>
    <row r="42" spans="1:52" s="22" customFormat="1" x14ac:dyDescent="0.25">
      <c r="A42" s="23"/>
      <c r="B42" s="23"/>
      <c r="C42" s="24"/>
      <c r="D42" s="24"/>
      <c r="E42" s="23"/>
      <c r="F42" s="23"/>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3"/>
      <c r="AK42" s="25"/>
      <c r="AL42" s="25"/>
      <c r="AM42" s="25"/>
      <c r="AN42" s="25"/>
      <c r="AO42" s="25"/>
      <c r="AP42" s="25"/>
      <c r="AQ42" s="25"/>
      <c r="AR42" s="25"/>
      <c r="AS42" s="25"/>
      <c r="AT42" s="25"/>
      <c r="AU42" s="25"/>
      <c r="AV42" s="25"/>
      <c r="AW42" s="25"/>
      <c r="AX42" s="25"/>
      <c r="AY42" s="25"/>
      <c r="AZ42" s="26"/>
    </row>
    <row r="43" spans="1:52" s="22" customFormat="1" x14ac:dyDescent="0.25">
      <c r="A43" s="23"/>
      <c r="B43" s="23"/>
      <c r="C43" s="24"/>
      <c r="D43" s="24"/>
      <c r="E43" s="23"/>
      <c r="F43" s="23"/>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3"/>
      <c r="AK43" s="25"/>
      <c r="AL43" s="25"/>
      <c r="AM43" s="25"/>
      <c r="AN43" s="25"/>
      <c r="AO43" s="25"/>
      <c r="AP43" s="25"/>
      <c r="AQ43" s="25"/>
      <c r="AR43" s="25"/>
      <c r="AS43" s="25"/>
      <c r="AT43" s="25"/>
      <c r="AU43" s="25"/>
      <c r="AV43" s="25"/>
      <c r="AW43" s="25"/>
      <c r="AX43" s="25"/>
      <c r="AY43" s="25"/>
      <c r="AZ43" s="26"/>
    </row>
    <row r="44" spans="1:52" s="22" customFormat="1" x14ac:dyDescent="0.25">
      <c r="A44" s="23"/>
      <c r="B44" s="23"/>
      <c r="C44" s="24"/>
      <c r="D44" s="24"/>
      <c r="E44" s="23"/>
      <c r="F44" s="23"/>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3"/>
      <c r="AK44" s="25"/>
      <c r="AL44" s="25"/>
      <c r="AM44" s="25"/>
      <c r="AN44" s="25"/>
      <c r="AO44" s="25"/>
      <c r="AP44" s="25"/>
      <c r="AQ44" s="25"/>
      <c r="AR44" s="25"/>
      <c r="AS44" s="25"/>
      <c r="AT44" s="25"/>
      <c r="AU44" s="25"/>
      <c r="AV44" s="25"/>
      <c r="AW44" s="25"/>
      <c r="AX44" s="25"/>
      <c r="AY44" s="25"/>
      <c r="AZ44" s="26"/>
    </row>
    <row r="45" spans="1:52" s="22" customFormat="1" x14ac:dyDescent="0.25">
      <c r="A45" s="23"/>
      <c r="B45" s="23"/>
      <c r="C45" s="24"/>
      <c r="D45" s="24"/>
      <c r="E45" s="23"/>
      <c r="F45" s="23"/>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3"/>
      <c r="AK45" s="25"/>
      <c r="AL45" s="25"/>
      <c r="AM45" s="25"/>
      <c r="AN45" s="25"/>
      <c r="AO45" s="25"/>
      <c r="AP45" s="25"/>
      <c r="AQ45" s="25"/>
      <c r="AR45" s="25"/>
      <c r="AS45" s="25"/>
      <c r="AT45" s="25"/>
      <c r="AU45" s="25"/>
      <c r="AV45" s="25"/>
      <c r="AW45" s="25"/>
      <c r="AX45" s="25"/>
      <c r="AY45" s="25"/>
      <c r="AZ45" s="26"/>
    </row>
    <row r="46" spans="1:52" s="22" customFormat="1" x14ac:dyDescent="0.25">
      <c r="A46" s="23"/>
      <c r="B46" s="23"/>
      <c r="C46" s="24"/>
      <c r="D46" s="24"/>
      <c r="E46" s="23"/>
      <c r="F46" s="23"/>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3"/>
      <c r="AK46" s="25"/>
      <c r="AL46" s="25"/>
      <c r="AM46" s="25"/>
      <c r="AN46" s="25"/>
      <c r="AO46" s="25"/>
      <c r="AP46" s="25"/>
      <c r="AQ46" s="25"/>
      <c r="AR46" s="25"/>
      <c r="AS46" s="25"/>
      <c r="AT46" s="25"/>
      <c r="AU46" s="25"/>
      <c r="AV46" s="25"/>
      <c r="AW46" s="25"/>
      <c r="AX46" s="25"/>
      <c r="AY46" s="25"/>
      <c r="AZ46" s="26"/>
    </row>
    <row r="47" spans="1:52" s="22" customFormat="1" x14ac:dyDescent="0.25">
      <c r="A47" s="23"/>
      <c r="B47" s="23"/>
      <c r="C47" s="24"/>
      <c r="D47" s="24"/>
      <c r="E47" s="23"/>
      <c r="F47" s="23"/>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3"/>
      <c r="AK47" s="25"/>
      <c r="AL47" s="25"/>
      <c r="AM47" s="25"/>
      <c r="AN47" s="25"/>
      <c r="AO47" s="25"/>
      <c r="AP47" s="25"/>
      <c r="AQ47" s="25"/>
      <c r="AR47" s="25"/>
      <c r="AS47" s="25"/>
      <c r="AT47" s="25"/>
      <c r="AU47" s="25"/>
      <c r="AV47" s="25"/>
      <c r="AW47" s="25"/>
      <c r="AX47" s="25"/>
      <c r="AY47" s="25"/>
      <c r="AZ47" s="26"/>
    </row>
    <row r="48" spans="1:52" s="22" customFormat="1" x14ac:dyDescent="0.25">
      <c r="A48" s="23"/>
      <c r="B48" s="23"/>
      <c r="C48" s="24"/>
      <c r="D48" s="24"/>
      <c r="E48" s="23"/>
      <c r="F48" s="23"/>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3"/>
      <c r="AK48" s="25"/>
      <c r="AL48" s="25"/>
      <c r="AM48" s="25"/>
      <c r="AN48" s="25"/>
      <c r="AO48" s="25"/>
      <c r="AP48" s="25"/>
      <c r="AQ48" s="25"/>
      <c r="AR48" s="25"/>
      <c r="AS48" s="25"/>
      <c r="AT48" s="25"/>
      <c r="AU48" s="25"/>
      <c r="AV48" s="25"/>
      <c r="AW48" s="25"/>
      <c r="AX48" s="25"/>
      <c r="AY48" s="25"/>
      <c r="AZ48" s="26"/>
    </row>
    <row r="49" spans="1:52" s="22" customFormat="1" x14ac:dyDescent="0.25">
      <c r="A49" s="23"/>
      <c r="B49" s="23"/>
      <c r="C49" s="24"/>
      <c r="D49" s="24"/>
      <c r="E49" s="23"/>
      <c r="F49" s="23"/>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3"/>
      <c r="AK49" s="25"/>
      <c r="AL49" s="25"/>
      <c r="AM49" s="25"/>
      <c r="AN49" s="25"/>
      <c r="AO49" s="25"/>
      <c r="AP49" s="25"/>
      <c r="AQ49" s="25"/>
      <c r="AR49" s="25"/>
      <c r="AS49" s="25"/>
      <c r="AT49" s="25"/>
      <c r="AU49" s="25"/>
      <c r="AV49" s="25"/>
      <c r="AW49" s="25"/>
      <c r="AX49" s="25"/>
      <c r="AY49" s="25"/>
      <c r="AZ49" s="26"/>
    </row>
    <row r="50" spans="1:52" s="22" customFormat="1" x14ac:dyDescent="0.25">
      <c r="A50" s="23"/>
      <c r="B50" s="23"/>
      <c r="C50" s="24"/>
      <c r="D50" s="24"/>
      <c r="E50" s="23"/>
      <c r="F50" s="23"/>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3"/>
      <c r="AK50" s="25"/>
      <c r="AL50" s="25"/>
      <c r="AM50" s="25"/>
      <c r="AN50" s="25"/>
      <c r="AO50" s="25"/>
      <c r="AP50" s="25"/>
      <c r="AQ50" s="25"/>
      <c r="AR50" s="25"/>
      <c r="AS50" s="25"/>
      <c r="AT50" s="25"/>
      <c r="AU50" s="25"/>
      <c r="AV50" s="25"/>
      <c r="AW50" s="25"/>
      <c r="AX50" s="25"/>
      <c r="AY50" s="25"/>
      <c r="AZ50" s="26"/>
    </row>
    <row r="51" spans="1:52" s="22" customFormat="1" x14ac:dyDescent="0.25">
      <c r="A51" s="23"/>
      <c r="B51" s="23"/>
      <c r="C51" s="24"/>
      <c r="D51" s="24"/>
      <c r="E51" s="23"/>
      <c r="F51" s="23"/>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3"/>
      <c r="AK51" s="25"/>
      <c r="AL51" s="25"/>
      <c r="AM51" s="25"/>
      <c r="AN51" s="25"/>
      <c r="AO51" s="25"/>
      <c r="AP51" s="25"/>
      <c r="AQ51" s="25"/>
      <c r="AR51" s="25"/>
      <c r="AS51" s="25"/>
      <c r="AT51" s="25"/>
      <c r="AU51" s="25"/>
      <c r="AV51" s="25"/>
      <c r="AW51" s="25"/>
      <c r="AX51" s="25"/>
      <c r="AY51" s="25"/>
      <c r="AZ51" s="26"/>
    </row>
    <row r="52" spans="1:52" s="22" customFormat="1" x14ac:dyDescent="0.25">
      <c r="A52" s="23"/>
      <c r="B52" s="23"/>
      <c r="C52" s="24"/>
      <c r="D52" s="24"/>
      <c r="E52" s="23"/>
      <c r="F52" s="23"/>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3"/>
      <c r="AK52" s="25"/>
      <c r="AL52" s="25"/>
      <c r="AM52" s="25"/>
      <c r="AN52" s="25"/>
      <c r="AO52" s="25"/>
      <c r="AP52" s="25"/>
      <c r="AQ52" s="25"/>
      <c r="AR52" s="25"/>
      <c r="AS52" s="25"/>
      <c r="AT52" s="25"/>
      <c r="AU52" s="25"/>
      <c r="AV52" s="25"/>
      <c r="AW52" s="25"/>
      <c r="AX52" s="25"/>
      <c r="AY52" s="25"/>
      <c r="AZ52" s="26"/>
    </row>
    <row r="53" spans="1:52" s="22" customFormat="1" x14ac:dyDescent="0.25">
      <c r="A53" s="23"/>
      <c r="B53" s="23"/>
      <c r="C53" s="24"/>
      <c r="D53" s="24"/>
      <c r="E53" s="23"/>
      <c r="F53" s="23"/>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3"/>
      <c r="AK53" s="25"/>
      <c r="AL53" s="25"/>
      <c r="AM53" s="25"/>
      <c r="AN53" s="25"/>
      <c r="AO53" s="25"/>
      <c r="AP53" s="25"/>
      <c r="AQ53" s="25"/>
      <c r="AR53" s="25"/>
      <c r="AS53" s="25"/>
      <c r="AT53" s="25"/>
      <c r="AU53" s="25"/>
      <c r="AV53" s="25"/>
      <c r="AW53" s="25"/>
      <c r="AX53" s="25"/>
      <c r="AY53" s="25"/>
      <c r="AZ53" s="26"/>
    </row>
    <row r="54" spans="1:52" s="22" customFormat="1" x14ac:dyDescent="0.25">
      <c r="A54" s="23"/>
      <c r="B54" s="23"/>
      <c r="C54" s="24"/>
      <c r="D54" s="24"/>
      <c r="E54" s="23"/>
      <c r="F54" s="23"/>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3"/>
      <c r="AK54" s="25"/>
      <c r="AL54" s="25"/>
      <c r="AM54" s="25"/>
      <c r="AN54" s="25"/>
      <c r="AO54" s="25"/>
      <c r="AP54" s="25"/>
      <c r="AQ54" s="25"/>
      <c r="AR54" s="25"/>
      <c r="AS54" s="25"/>
      <c r="AT54" s="25"/>
      <c r="AU54" s="25"/>
      <c r="AV54" s="25"/>
      <c r="AW54" s="25"/>
      <c r="AX54" s="25"/>
      <c r="AY54" s="25"/>
      <c r="AZ54" s="26"/>
    </row>
    <row r="55" spans="1:52" s="22" customFormat="1" x14ac:dyDescent="0.25">
      <c r="A55" s="23"/>
      <c r="B55" s="23"/>
      <c r="C55" s="24"/>
      <c r="D55" s="24"/>
      <c r="E55" s="23"/>
      <c r="F55" s="23"/>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3"/>
      <c r="AK55" s="25"/>
      <c r="AL55" s="25"/>
      <c r="AM55" s="25"/>
      <c r="AN55" s="25"/>
      <c r="AO55" s="25"/>
      <c r="AP55" s="25"/>
      <c r="AQ55" s="25"/>
      <c r="AR55" s="25"/>
      <c r="AS55" s="25"/>
      <c r="AT55" s="25"/>
      <c r="AU55" s="25"/>
      <c r="AV55" s="25"/>
      <c r="AW55" s="25"/>
      <c r="AX55" s="25"/>
      <c r="AY55" s="25"/>
      <c r="AZ55" s="26"/>
    </row>
    <row r="56" spans="1:52" s="22" customFormat="1" x14ac:dyDescent="0.25">
      <c r="A56" s="23"/>
      <c r="B56" s="23"/>
      <c r="C56" s="24"/>
      <c r="D56" s="24"/>
      <c r="E56" s="23"/>
      <c r="F56" s="23"/>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3"/>
      <c r="AK56" s="25"/>
      <c r="AL56" s="25"/>
      <c r="AM56" s="25"/>
      <c r="AN56" s="25"/>
      <c r="AO56" s="25"/>
      <c r="AP56" s="25"/>
      <c r="AQ56" s="25"/>
      <c r="AR56" s="25"/>
      <c r="AS56" s="25"/>
      <c r="AT56" s="25"/>
      <c r="AU56" s="25"/>
      <c r="AV56" s="25"/>
      <c r="AW56" s="25"/>
      <c r="AX56" s="25"/>
      <c r="AY56" s="25"/>
      <c r="AZ56" s="26"/>
    </row>
    <row r="57" spans="1:52" s="22" customFormat="1" x14ac:dyDescent="0.25">
      <c r="A57" s="23"/>
      <c r="B57" s="23"/>
      <c r="C57" s="24"/>
      <c r="D57" s="24"/>
      <c r="E57" s="23"/>
      <c r="F57" s="23"/>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3"/>
      <c r="AK57" s="25"/>
      <c r="AL57" s="25"/>
      <c r="AM57" s="25"/>
      <c r="AN57" s="25"/>
      <c r="AO57" s="25"/>
      <c r="AP57" s="25"/>
      <c r="AQ57" s="25"/>
      <c r="AR57" s="25"/>
      <c r="AS57" s="25"/>
      <c r="AT57" s="25"/>
      <c r="AU57" s="25"/>
      <c r="AV57" s="25"/>
      <c r="AW57" s="25"/>
      <c r="AX57" s="25"/>
      <c r="AY57" s="25"/>
      <c r="AZ57" s="26"/>
    </row>
    <row r="58" spans="1:52" s="22" customFormat="1" x14ac:dyDescent="0.25">
      <c r="A58" s="23"/>
      <c r="B58" s="23"/>
      <c r="C58" s="24"/>
      <c r="D58" s="24"/>
      <c r="E58" s="23"/>
      <c r="F58" s="23"/>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3"/>
      <c r="AK58" s="25"/>
      <c r="AL58" s="25"/>
      <c r="AM58" s="25"/>
      <c r="AN58" s="25"/>
      <c r="AO58" s="25"/>
      <c r="AP58" s="25"/>
      <c r="AQ58" s="25"/>
      <c r="AR58" s="25"/>
      <c r="AS58" s="25"/>
      <c r="AT58" s="25"/>
      <c r="AU58" s="25"/>
      <c r="AV58" s="25"/>
      <c r="AW58" s="25"/>
      <c r="AX58" s="25"/>
      <c r="AY58" s="25"/>
      <c r="AZ58" s="26"/>
    </row>
    <row r="59" spans="1:52" s="22" customFormat="1" x14ac:dyDescent="0.25">
      <c r="A59" s="23"/>
      <c r="B59" s="23"/>
      <c r="C59" s="24"/>
      <c r="D59" s="24"/>
      <c r="E59" s="23"/>
      <c r="F59" s="23"/>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3"/>
      <c r="AK59" s="25"/>
      <c r="AL59" s="25"/>
      <c r="AM59" s="25"/>
      <c r="AN59" s="25"/>
      <c r="AO59" s="25"/>
      <c r="AP59" s="25"/>
      <c r="AQ59" s="25"/>
      <c r="AR59" s="25"/>
      <c r="AS59" s="25"/>
      <c r="AT59" s="25"/>
      <c r="AU59" s="25"/>
      <c r="AV59" s="25"/>
      <c r="AW59" s="25"/>
      <c r="AX59" s="25"/>
      <c r="AY59" s="25"/>
      <c r="AZ59" s="26"/>
    </row>
    <row r="60" spans="1:52" s="22" customFormat="1" x14ac:dyDescent="0.25">
      <c r="A60" s="23"/>
      <c r="B60" s="23"/>
      <c r="C60" s="24"/>
      <c r="D60" s="24"/>
      <c r="E60" s="23"/>
      <c r="F60" s="23"/>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3"/>
      <c r="AK60" s="25"/>
      <c r="AL60" s="25"/>
      <c r="AM60" s="25"/>
      <c r="AN60" s="25"/>
      <c r="AO60" s="25"/>
      <c r="AP60" s="25"/>
      <c r="AQ60" s="25"/>
      <c r="AR60" s="25"/>
      <c r="AS60" s="25"/>
      <c r="AT60" s="25"/>
      <c r="AU60" s="25"/>
      <c r="AV60" s="25"/>
      <c r="AW60" s="25"/>
      <c r="AX60" s="25"/>
      <c r="AY60" s="25"/>
      <c r="AZ60" s="26"/>
    </row>
    <row r="61" spans="1:52" s="22" customFormat="1" x14ac:dyDescent="0.25">
      <c r="A61" s="23"/>
      <c r="B61" s="23"/>
      <c r="C61" s="24"/>
      <c r="D61" s="24"/>
      <c r="E61" s="23"/>
      <c r="F61" s="23"/>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3"/>
      <c r="AK61" s="25"/>
      <c r="AL61" s="25"/>
      <c r="AM61" s="25"/>
      <c r="AN61" s="25"/>
      <c r="AO61" s="25"/>
      <c r="AP61" s="25"/>
      <c r="AQ61" s="25"/>
      <c r="AR61" s="25"/>
      <c r="AS61" s="25"/>
      <c r="AT61" s="25"/>
      <c r="AU61" s="25"/>
      <c r="AV61" s="25"/>
      <c r="AW61" s="25"/>
      <c r="AX61" s="25"/>
      <c r="AY61" s="25"/>
      <c r="AZ61" s="26"/>
    </row>
    <row r="62" spans="1:52" s="22" customFormat="1" x14ac:dyDescent="0.25">
      <c r="A62" s="23"/>
      <c r="B62" s="23"/>
      <c r="C62" s="24"/>
      <c r="D62" s="24"/>
      <c r="E62" s="23"/>
      <c r="F62" s="23"/>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3"/>
      <c r="AK62" s="25"/>
      <c r="AL62" s="25"/>
      <c r="AM62" s="25"/>
      <c r="AN62" s="25"/>
      <c r="AO62" s="25"/>
      <c r="AP62" s="25"/>
      <c r="AQ62" s="25"/>
      <c r="AR62" s="25"/>
      <c r="AS62" s="25"/>
      <c r="AT62" s="25"/>
      <c r="AU62" s="25"/>
      <c r="AV62" s="25"/>
      <c r="AW62" s="25"/>
      <c r="AX62" s="25"/>
      <c r="AY62" s="25"/>
      <c r="AZ62" s="26"/>
    </row>
    <row r="63" spans="1:52" s="22" customFormat="1" x14ac:dyDescent="0.25">
      <c r="A63" s="23"/>
      <c r="B63" s="23"/>
      <c r="C63" s="24"/>
      <c r="D63" s="24"/>
      <c r="E63" s="23"/>
      <c r="F63" s="23"/>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3"/>
      <c r="AK63" s="25"/>
      <c r="AL63" s="25"/>
      <c r="AM63" s="25"/>
      <c r="AN63" s="25"/>
      <c r="AO63" s="25"/>
      <c r="AP63" s="25"/>
      <c r="AQ63" s="25"/>
      <c r="AR63" s="25"/>
      <c r="AS63" s="25"/>
      <c r="AT63" s="25"/>
      <c r="AU63" s="25"/>
      <c r="AV63" s="25"/>
      <c r="AW63" s="25"/>
      <c r="AX63" s="25"/>
      <c r="AY63" s="25"/>
      <c r="AZ63" s="26"/>
    </row>
    <row r="64" spans="1:52" s="22" customFormat="1" x14ac:dyDescent="0.25">
      <c r="A64" s="23"/>
      <c r="B64" s="23"/>
      <c r="C64" s="24"/>
      <c r="D64" s="24"/>
      <c r="E64" s="23"/>
      <c r="F64" s="23"/>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3"/>
      <c r="AK64" s="25"/>
      <c r="AL64" s="25"/>
      <c r="AM64" s="25"/>
      <c r="AN64" s="25"/>
      <c r="AO64" s="25"/>
      <c r="AP64" s="25"/>
      <c r="AQ64" s="25"/>
      <c r="AR64" s="25"/>
      <c r="AS64" s="25"/>
      <c r="AT64" s="25"/>
      <c r="AU64" s="25"/>
      <c r="AV64" s="25"/>
      <c r="AW64" s="25"/>
      <c r="AX64" s="25"/>
      <c r="AY64" s="25"/>
      <c r="AZ64" s="26"/>
    </row>
    <row r="65" spans="1:52" s="22" customFormat="1" x14ac:dyDescent="0.25">
      <c r="A65" s="23"/>
      <c r="B65" s="23"/>
      <c r="C65" s="24"/>
      <c r="D65" s="24"/>
      <c r="E65" s="23"/>
      <c r="F65" s="23"/>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3"/>
      <c r="AK65" s="25"/>
      <c r="AL65" s="25"/>
      <c r="AM65" s="25"/>
      <c r="AN65" s="25"/>
      <c r="AO65" s="25"/>
      <c r="AP65" s="25"/>
      <c r="AQ65" s="25"/>
      <c r="AR65" s="25"/>
      <c r="AS65" s="25"/>
      <c r="AT65" s="25"/>
      <c r="AU65" s="25"/>
      <c r="AV65" s="25"/>
      <c r="AW65" s="25"/>
      <c r="AX65" s="25"/>
      <c r="AY65" s="25"/>
      <c r="AZ65" s="26"/>
    </row>
    <row r="66" spans="1:52" s="22" customFormat="1" x14ac:dyDescent="0.25">
      <c r="A66" s="23"/>
      <c r="B66" s="23"/>
      <c r="C66" s="24"/>
      <c r="D66" s="24"/>
      <c r="E66" s="23"/>
      <c r="F66" s="23"/>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3"/>
      <c r="AK66" s="25"/>
      <c r="AL66" s="25"/>
      <c r="AM66" s="25"/>
      <c r="AN66" s="25"/>
      <c r="AO66" s="25"/>
      <c r="AP66" s="25"/>
      <c r="AQ66" s="25"/>
      <c r="AR66" s="25"/>
      <c r="AS66" s="25"/>
      <c r="AT66" s="25"/>
      <c r="AU66" s="25"/>
      <c r="AV66" s="25"/>
      <c r="AW66" s="25"/>
      <c r="AX66" s="25"/>
      <c r="AY66" s="25"/>
      <c r="AZ66" s="26"/>
    </row>
    <row r="67" spans="1:52" s="22" customFormat="1" x14ac:dyDescent="0.25">
      <c r="A67" s="23"/>
      <c r="B67" s="23"/>
      <c r="C67" s="24"/>
      <c r="D67" s="24"/>
      <c r="E67" s="23"/>
      <c r="F67" s="23"/>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3"/>
      <c r="AK67" s="25"/>
      <c r="AL67" s="25"/>
      <c r="AM67" s="25"/>
      <c r="AN67" s="25"/>
      <c r="AO67" s="25"/>
      <c r="AP67" s="25"/>
      <c r="AQ67" s="25"/>
      <c r="AR67" s="25"/>
      <c r="AS67" s="25"/>
      <c r="AT67" s="25"/>
      <c r="AU67" s="25"/>
      <c r="AV67" s="25"/>
      <c r="AW67" s="25"/>
      <c r="AX67" s="25"/>
      <c r="AY67" s="25"/>
      <c r="AZ67" s="26"/>
    </row>
    <row r="68" spans="1:52" s="22" customFormat="1" x14ac:dyDescent="0.25">
      <c r="A68" s="23"/>
      <c r="B68" s="23"/>
      <c r="C68" s="24"/>
      <c r="D68" s="24"/>
      <c r="E68" s="23"/>
      <c r="F68" s="23"/>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3"/>
      <c r="AK68" s="25"/>
      <c r="AL68" s="25"/>
      <c r="AM68" s="25"/>
      <c r="AN68" s="25"/>
      <c r="AO68" s="25"/>
      <c r="AP68" s="25"/>
      <c r="AQ68" s="25"/>
      <c r="AR68" s="25"/>
      <c r="AS68" s="25"/>
      <c r="AT68" s="25"/>
      <c r="AU68" s="25"/>
      <c r="AV68" s="25"/>
      <c r="AW68" s="25"/>
      <c r="AX68" s="25"/>
      <c r="AY68" s="25"/>
      <c r="AZ68" s="26"/>
    </row>
    <row r="69" spans="1:52" s="22" customFormat="1" x14ac:dyDescent="0.25">
      <c r="A69" s="23"/>
      <c r="B69" s="23"/>
      <c r="C69" s="24"/>
      <c r="D69" s="24"/>
      <c r="E69" s="23"/>
      <c r="F69" s="23"/>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3"/>
      <c r="AK69" s="25"/>
      <c r="AL69" s="25"/>
      <c r="AM69" s="25"/>
      <c r="AN69" s="25"/>
      <c r="AO69" s="25"/>
      <c r="AP69" s="25"/>
      <c r="AQ69" s="25"/>
      <c r="AR69" s="25"/>
      <c r="AS69" s="25"/>
      <c r="AT69" s="25"/>
      <c r="AU69" s="25"/>
      <c r="AV69" s="25"/>
      <c r="AW69" s="25"/>
      <c r="AX69" s="25"/>
      <c r="AY69" s="25"/>
      <c r="AZ69" s="26"/>
    </row>
    <row r="70" spans="1:52" s="22" customFormat="1" x14ac:dyDescent="0.25">
      <c r="A70" s="23"/>
      <c r="B70" s="23"/>
      <c r="C70" s="24"/>
      <c r="D70" s="24"/>
      <c r="E70" s="23"/>
      <c r="F70" s="23"/>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3"/>
      <c r="AK70" s="25"/>
      <c r="AL70" s="25"/>
      <c r="AM70" s="25"/>
      <c r="AN70" s="25"/>
      <c r="AO70" s="25"/>
      <c r="AP70" s="25"/>
      <c r="AQ70" s="25"/>
      <c r="AR70" s="25"/>
      <c r="AS70" s="25"/>
      <c r="AT70" s="25"/>
      <c r="AU70" s="25"/>
      <c r="AV70" s="25"/>
      <c r="AW70" s="25"/>
      <c r="AX70" s="25"/>
      <c r="AY70" s="25"/>
      <c r="AZ70" s="26"/>
    </row>
    <row r="71" spans="1:52" s="22" customFormat="1" x14ac:dyDescent="0.25">
      <c r="A71" s="23"/>
      <c r="B71" s="23"/>
      <c r="C71" s="24"/>
      <c r="D71" s="24"/>
      <c r="E71" s="23"/>
      <c r="F71" s="23"/>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3"/>
      <c r="AK71" s="25"/>
      <c r="AL71" s="25"/>
      <c r="AM71" s="25"/>
      <c r="AN71" s="25"/>
      <c r="AO71" s="25"/>
      <c r="AP71" s="25"/>
      <c r="AQ71" s="25"/>
      <c r="AR71" s="25"/>
      <c r="AS71" s="25"/>
      <c r="AT71" s="25"/>
      <c r="AU71" s="25"/>
      <c r="AV71" s="25"/>
      <c r="AW71" s="25"/>
      <c r="AX71" s="25"/>
      <c r="AY71" s="25"/>
      <c r="AZ71" s="26"/>
    </row>
    <row r="72" spans="1:52" s="22" customFormat="1" x14ac:dyDescent="0.25">
      <c r="A72" s="23"/>
      <c r="B72" s="23"/>
      <c r="C72" s="24"/>
      <c r="D72" s="24"/>
      <c r="E72" s="23"/>
      <c r="F72" s="23"/>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3"/>
      <c r="AK72" s="25"/>
      <c r="AL72" s="25"/>
      <c r="AM72" s="25"/>
      <c r="AN72" s="25"/>
      <c r="AO72" s="25"/>
      <c r="AP72" s="25"/>
      <c r="AQ72" s="25"/>
      <c r="AR72" s="25"/>
      <c r="AS72" s="25"/>
      <c r="AT72" s="25"/>
      <c r="AU72" s="25"/>
      <c r="AV72" s="25"/>
      <c r="AW72" s="25"/>
      <c r="AX72" s="25"/>
      <c r="AY72" s="25"/>
      <c r="AZ72" s="26"/>
    </row>
    <row r="73" spans="1:52" s="22" customFormat="1" x14ac:dyDescent="0.25">
      <c r="A73" s="23"/>
      <c r="B73" s="23"/>
      <c r="C73" s="24"/>
      <c r="D73" s="24"/>
      <c r="E73" s="23"/>
      <c r="F73" s="23"/>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3"/>
      <c r="AK73" s="25"/>
      <c r="AL73" s="25"/>
      <c r="AM73" s="25"/>
      <c r="AN73" s="25"/>
      <c r="AO73" s="25"/>
      <c r="AP73" s="25"/>
      <c r="AQ73" s="25"/>
      <c r="AR73" s="25"/>
      <c r="AS73" s="25"/>
      <c r="AT73" s="25"/>
      <c r="AU73" s="25"/>
      <c r="AV73" s="25"/>
      <c r="AW73" s="25"/>
      <c r="AX73" s="25"/>
      <c r="AY73" s="25"/>
      <c r="AZ73" s="26"/>
    </row>
    <row r="74" spans="1:52" s="22" customFormat="1" x14ac:dyDescent="0.25">
      <c r="A74" s="23"/>
      <c r="B74" s="23"/>
      <c r="C74" s="24"/>
      <c r="D74" s="24"/>
      <c r="E74" s="23"/>
      <c r="F74" s="23"/>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3"/>
      <c r="AK74" s="25"/>
      <c r="AL74" s="25"/>
      <c r="AM74" s="25"/>
      <c r="AN74" s="25"/>
      <c r="AO74" s="25"/>
      <c r="AP74" s="25"/>
      <c r="AQ74" s="25"/>
      <c r="AR74" s="25"/>
      <c r="AS74" s="25"/>
      <c r="AT74" s="25"/>
      <c r="AU74" s="25"/>
      <c r="AV74" s="25"/>
      <c r="AW74" s="25"/>
      <c r="AX74" s="25"/>
      <c r="AY74" s="25"/>
      <c r="AZ74" s="26"/>
    </row>
    <row r="75" spans="1:52" s="22" customFormat="1" x14ac:dyDescent="0.25">
      <c r="A75" s="23"/>
      <c r="B75" s="23"/>
      <c r="C75" s="24"/>
      <c r="D75" s="24"/>
      <c r="E75" s="23"/>
      <c r="F75" s="23"/>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3"/>
      <c r="AK75" s="25"/>
      <c r="AL75" s="25"/>
      <c r="AM75" s="25"/>
      <c r="AN75" s="25"/>
      <c r="AO75" s="25"/>
      <c r="AP75" s="25"/>
      <c r="AQ75" s="25"/>
      <c r="AR75" s="25"/>
      <c r="AS75" s="25"/>
      <c r="AT75" s="25"/>
      <c r="AU75" s="25"/>
      <c r="AV75" s="25"/>
      <c r="AW75" s="25"/>
      <c r="AX75" s="25"/>
      <c r="AY75" s="25"/>
      <c r="AZ75" s="26"/>
    </row>
    <row r="76" spans="1:52" s="22" customFormat="1" x14ac:dyDescent="0.25">
      <c r="A76" s="23"/>
      <c r="B76" s="23"/>
      <c r="C76" s="24"/>
      <c r="D76" s="24"/>
      <c r="E76" s="23"/>
      <c r="F76" s="23"/>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3"/>
      <c r="AK76" s="25"/>
      <c r="AL76" s="25"/>
      <c r="AM76" s="25"/>
      <c r="AN76" s="25"/>
      <c r="AO76" s="25"/>
      <c r="AP76" s="25"/>
      <c r="AQ76" s="25"/>
      <c r="AR76" s="25"/>
      <c r="AS76" s="25"/>
      <c r="AT76" s="25"/>
      <c r="AU76" s="25"/>
      <c r="AV76" s="25"/>
      <c r="AW76" s="25"/>
      <c r="AX76" s="25"/>
      <c r="AY76" s="25"/>
      <c r="AZ76" s="26"/>
    </row>
    <row r="77" spans="1:52" s="22" customFormat="1" x14ac:dyDescent="0.25">
      <c r="A77" s="23"/>
      <c r="B77" s="23"/>
      <c r="C77" s="24"/>
      <c r="D77" s="24"/>
      <c r="E77" s="23"/>
      <c r="F77" s="23"/>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3"/>
      <c r="AK77" s="25"/>
      <c r="AL77" s="25"/>
      <c r="AM77" s="25"/>
      <c r="AN77" s="25"/>
      <c r="AO77" s="25"/>
      <c r="AP77" s="25"/>
      <c r="AQ77" s="25"/>
      <c r="AR77" s="25"/>
      <c r="AS77" s="25"/>
      <c r="AT77" s="25"/>
      <c r="AU77" s="25"/>
      <c r="AV77" s="25"/>
      <c r="AW77" s="25"/>
      <c r="AX77" s="25"/>
      <c r="AY77" s="25"/>
      <c r="AZ77" s="26"/>
    </row>
    <row r="78" spans="1:52" s="22" customFormat="1" x14ac:dyDescent="0.25">
      <c r="A78" s="23"/>
      <c r="B78" s="23"/>
      <c r="C78" s="24"/>
      <c r="D78" s="24"/>
      <c r="E78" s="23"/>
      <c r="F78" s="23"/>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3"/>
      <c r="AK78" s="25"/>
      <c r="AL78" s="25"/>
      <c r="AM78" s="25"/>
      <c r="AN78" s="25"/>
      <c r="AO78" s="25"/>
      <c r="AP78" s="25"/>
      <c r="AQ78" s="25"/>
      <c r="AR78" s="25"/>
      <c r="AS78" s="25"/>
      <c r="AT78" s="25"/>
      <c r="AU78" s="25"/>
      <c r="AV78" s="25"/>
      <c r="AW78" s="25"/>
      <c r="AX78" s="25"/>
      <c r="AY78" s="25"/>
      <c r="AZ78" s="26"/>
    </row>
    <row r="79" spans="1:52" s="22" customFormat="1" x14ac:dyDescent="0.25">
      <c r="A79" s="23"/>
      <c r="B79" s="23"/>
      <c r="C79" s="24"/>
      <c r="D79" s="24"/>
      <c r="E79" s="23"/>
      <c r="F79" s="23"/>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3"/>
      <c r="AK79" s="25"/>
      <c r="AL79" s="25"/>
      <c r="AM79" s="25"/>
      <c r="AN79" s="25"/>
      <c r="AO79" s="25"/>
      <c r="AP79" s="25"/>
      <c r="AQ79" s="25"/>
      <c r="AR79" s="25"/>
      <c r="AS79" s="25"/>
      <c r="AT79" s="25"/>
      <c r="AU79" s="25"/>
      <c r="AV79" s="25"/>
      <c r="AW79" s="25"/>
      <c r="AX79" s="25"/>
      <c r="AY79" s="25"/>
      <c r="AZ79" s="26"/>
    </row>
    <row r="80" spans="1:52" s="22" customFormat="1" x14ac:dyDescent="0.25">
      <c r="A80" s="23"/>
      <c r="B80" s="23"/>
      <c r="C80" s="24"/>
      <c r="D80" s="24"/>
      <c r="E80" s="23"/>
      <c r="F80" s="23"/>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3"/>
      <c r="AK80" s="25"/>
      <c r="AL80" s="25"/>
      <c r="AM80" s="25"/>
      <c r="AN80" s="25"/>
      <c r="AO80" s="25"/>
      <c r="AP80" s="25"/>
      <c r="AQ80" s="25"/>
      <c r="AR80" s="25"/>
      <c r="AS80" s="25"/>
      <c r="AT80" s="25"/>
      <c r="AU80" s="25"/>
      <c r="AV80" s="25"/>
      <c r="AW80" s="25"/>
      <c r="AX80" s="25"/>
      <c r="AY80" s="25"/>
      <c r="AZ80" s="26"/>
    </row>
    <row r="81" spans="1:52" s="22" customFormat="1" x14ac:dyDescent="0.25">
      <c r="A81" s="23"/>
      <c r="B81" s="23"/>
      <c r="C81" s="24"/>
      <c r="D81" s="24"/>
      <c r="E81" s="23"/>
      <c r="F81" s="23"/>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3"/>
      <c r="AK81" s="25"/>
      <c r="AL81" s="25"/>
      <c r="AM81" s="25"/>
      <c r="AN81" s="25"/>
      <c r="AO81" s="25"/>
      <c r="AP81" s="25"/>
      <c r="AQ81" s="25"/>
      <c r="AR81" s="25"/>
      <c r="AS81" s="25"/>
      <c r="AT81" s="25"/>
      <c r="AU81" s="25"/>
      <c r="AV81" s="25"/>
      <c r="AW81" s="25"/>
      <c r="AX81" s="25"/>
      <c r="AY81" s="25"/>
      <c r="AZ81" s="26"/>
    </row>
    <row r="82" spans="1:52" s="22" customFormat="1" x14ac:dyDescent="0.25">
      <c r="A82" s="23"/>
      <c r="B82" s="23"/>
      <c r="C82" s="24"/>
      <c r="D82" s="24"/>
      <c r="E82" s="23"/>
      <c r="F82" s="23"/>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3"/>
      <c r="AK82" s="25"/>
      <c r="AL82" s="25"/>
      <c r="AM82" s="25"/>
      <c r="AN82" s="25"/>
      <c r="AO82" s="25"/>
      <c r="AP82" s="25"/>
      <c r="AQ82" s="25"/>
      <c r="AR82" s="25"/>
      <c r="AS82" s="25"/>
      <c r="AT82" s="25"/>
      <c r="AU82" s="25"/>
      <c r="AV82" s="25"/>
      <c r="AW82" s="25"/>
      <c r="AX82" s="25"/>
      <c r="AY82" s="25"/>
      <c r="AZ82" s="26"/>
    </row>
    <row r="83" spans="1:52" s="22" customFormat="1" x14ac:dyDescent="0.25">
      <c r="A83" s="23"/>
      <c r="B83" s="23"/>
      <c r="C83" s="24"/>
      <c r="D83" s="24"/>
      <c r="E83" s="23"/>
      <c r="F83" s="23"/>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3"/>
      <c r="AK83" s="25"/>
      <c r="AL83" s="25"/>
      <c r="AM83" s="25"/>
      <c r="AN83" s="25"/>
      <c r="AO83" s="25"/>
      <c r="AP83" s="25"/>
      <c r="AQ83" s="25"/>
      <c r="AR83" s="25"/>
      <c r="AS83" s="25"/>
      <c r="AT83" s="25"/>
      <c r="AU83" s="25"/>
      <c r="AV83" s="25"/>
      <c r="AW83" s="25"/>
      <c r="AX83" s="25"/>
      <c r="AY83" s="25"/>
      <c r="AZ83" s="26"/>
    </row>
    <row r="84" spans="1:52" s="22" customFormat="1" x14ac:dyDescent="0.25">
      <c r="A84" s="23"/>
      <c r="B84" s="23"/>
      <c r="C84" s="24"/>
      <c r="D84" s="24"/>
      <c r="E84" s="23"/>
      <c r="F84" s="23"/>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3"/>
      <c r="AK84" s="25"/>
      <c r="AL84" s="25"/>
      <c r="AM84" s="25"/>
      <c r="AN84" s="25"/>
      <c r="AO84" s="25"/>
      <c r="AP84" s="25"/>
      <c r="AQ84" s="25"/>
      <c r="AR84" s="25"/>
      <c r="AS84" s="25"/>
      <c r="AT84" s="25"/>
      <c r="AU84" s="25"/>
      <c r="AV84" s="25"/>
      <c r="AW84" s="25"/>
      <c r="AX84" s="25"/>
      <c r="AY84" s="25"/>
      <c r="AZ84" s="26"/>
    </row>
    <row r="85" spans="1:52" s="22" customFormat="1" x14ac:dyDescent="0.25">
      <c r="A85" s="23"/>
      <c r="B85" s="23"/>
      <c r="C85" s="24"/>
      <c r="D85" s="24"/>
      <c r="E85" s="23"/>
      <c r="F85" s="23"/>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3"/>
      <c r="AK85" s="25"/>
      <c r="AL85" s="25"/>
      <c r="AM85" s="25"/>
      <c r="AN85" s="25"/>
      <c r="AO85" s="25"/>
      <c r="AP85" s="25"/>
      <c r="AQ85" s="25"/>
      <c r="AR85" s="25"/>
      <c r="AS85" s="25"/>
      <c r="AT85" s="25"/>
      <c r="AU85" s="25"/>
      <c r="AV85" s="25"/>
      <c r="AW85" s="25"/>
      <c r="AX85" s="25"/>
      <c r="AY85" s="25"/>
      <c r="AZ85" s="26"/>
    </row>
    <row r="86" spans="1:52" s="22" customFormat="1" x14ac:dyDescent="0.25">
      <c r="A86" s="23"/>
      <c r="B86" s="23"/>
      <c r="C86" s="24"/>
      <c r="D86" s="24"/>
      <c r="E86" s="23"/>
      <c r="F86" s="23"/>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3"/>
      <c r="AK86" s="25"/>
      <c r="AL86" s="25"/>
      <c r="AM86" s="25"/>
      <c r="AN86" s="25"/>
      <c r="AO86" s="25"/>
      <c r="AP86" s="25"/>
      <c r="AQ86" s="25"/>
      <c r="AR86" s="25"/>
      <c r="AS86" s="25"/>
      <c r="AT86" s="25"/>
      <c r="AU86" s="25"/>
      <c r="AV86" s="25"/>
      <c r="AW86" s="25"/>
      <c r="AX86" s="25"/>
      <c r="AY86" s="25"/>
      <c r="AZ86" s="26"/>
    </row>
    <row r="87" spans="1:52" s="22" customFormat="1" x14ac:dyDescent="0.25">
      <c r="A87" s="23"/>
      <c r="B87" s="23"/>
      <c r="C87" s="24"/>
      <c r="D87" s="24"/>
      <c r="E87" s="23"/>
      <c r="F87" s="23"/>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3"/>
      <c r="AK87" s="25"/>
      <c r="AL87" s="25"/>
      <c r="AM87" s="25"/>
      <c r="AN87" s="25"/>
      <c r="AO87" s="25"/>
      <c r="AP87" s="25"/>
      <c r="AQ87" s="25"/>
      <c r="AR87" s="25"/>
      <c r="AS87" s="25"/>
      <c r="AT87" s="25"/>
      <c r="AU87" s="25"/>
      <c r="AV87" s="25"/>
      <c r="AW87" s="25"/>
      <c r="AX87" s="25"/>
      <c r="AY87" s="25"/>
      <c r="AZ87" s="26"/>
    </row>
    <row r="88" spans="1:52" s="22" customFormat="1" x14ac:dyDescent="0.25">
      <c r="A88" s="23"/>
      <c r="B88" s="23"/>
      <c r="C88" s="24"/>
      <c r="D88" s="24"/>
      <c r="E88" s="23"/>
      <c r="F88" s="23"/>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3"/>
      <c r="AK88" s="25"/>
      <c r="AL88" s="25"/>
      <c r="AM88" s="25"/>
      <c r="AN88" s="25"/>
      <c r="AO88" s="25"/>
      <c r="AP88" s="25"/>
      <c r="AQ88" s="25"/>
      <c r="AR88" s="25"/>
      <c r="AS88" s="25"/>
      <c r="AT88" s="25"/>
      <c r="AU88" s="25"/>
      <c r="AV88" s="25"/>
      <c r="AW88" s="25"/>
      <c r="AX88" s="25"/>
      <c r="AY88" s="25"/>
      <c r="AZ88" s="26"/>
    </row>
    <row r="89" spans="1:52" s="22" customFormat="1" x14ac:dyDescent="0.25">
      <c r="A89" s="23"/>
      <c r="B89" s="23"/>
      <c r="C89" s="24"/>
      <c r="D89" s="24"/>
      <c r="E89" s="23"/>
      <c r="F89" s="23"/>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3"/>
      <c r="AK89" s="25"/>
      <c r="AL89" s="25"/>
      <c r="AM89" s="25"/>
      <c r="AN89" s="25"/>
      <c r="AO89" s="25"/>
      <c r="AP89" s="25"/>
      <c r="AQ89" s="25"/>
      <c r="AR89" s="25"/>
      <c r="AS89" s="25"/>
      <c r="AT89" s="25"/>
      <c r="AU89" s="25"/>
      <c r="AV89" s="25"/>
      <c r="AW89" s="25"/>
      <c r="AX89" s="25"/>
      <c r="AY89" s="25"/>
      <c r="AZ89" s="26"/>
    </row>
    <row r="90" spans="1:52" s="22" customFormat="1" x14ac:dyDescent="0.25">
      <c r="A90" s="23"/>
      <c r="B90" s="23"/>
      <c r="C90" s="24"/>
      <c r="D90" s="24"/>
      <c r="E90" s="23"/>
      <c r="F90" s="23"/>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3"/>
      <c r="AK90" s="25"/>
      <c r="AL90" s="25"/>
      <c r="AM90" s="25"/>
      <c r="AN90" s="25"/>
      <c r="AO90" s="25"/>
      <c r="AP90" s="25"/>
      <c r="AQ90" s="25"/>
      <c r="AR90" s="25"/>
      <c r="AS90" s="25"/>
      <c r="AT90" s="25"/>
      <c r="AU90" s="25"/>
      <c r="AV90" s="25"/>
      <c r="AW90" s="25"/>
      <c r="AX90" s="25"/>
      <c r="AY90" s="25"/>
      <c r="AZ90" s="26"/>
    </row>
    <row r="1048566" spans="51:51" x14ac:dyDescent="0.25">
      <c r="AY1048566" s="36">
        <f>SUM(AY4:AY1048565)</f>
        <v>0</v>
      </c>
    </row>
  </sheetData>
  <sortState xmlns:xlrd2="http://schemas.microsoft.com/office/spreadsheetml/2017/richdata2" ref="A4:AZ23">
    <sortCondition descending="1" ref="AY4:AY23"/>
    <sortCondition descending="1" ref="AI4:AI23"/>
  </sortState>
  <mergeCells count="11">
    <mergeCell ref="AT1:AX1"/>
    <mergeCell ref="AT2:AX2"/>
    <mergeCell ref="AY1:AZ2"/>
    <mergeCell ref="AS1:AS2"/>
    <mergeCell ref="A2:E2"/>
    <mergeCell ref="A1:E1"/>
    <mergeCell ref="AI1:AJ2"/>
    <mergeCell ref="AK1:AR1"/>
    <mergeCell ref="AK2:AR2"/>
    <mergeCell ref="F1:AH1"/>
    <mergeCell ref="F2:AH2"/>
  </mergeCells>
  <dataValidations count="2">
    <dataValidation type="list" allowBlank="1" showInputMessage="1" showErrorMessage="1" sqref="G4:AH23 AK4:AR23" xr:uid="{0C1311AD-61C0-4FBE-8446-FADCF411BE7B}">
      <formula1>"Not Implemeted,1,2,3,4,5"</formula1>
    </dataValidation>
    <dataValidation type="list" allowBlank="1" showInputMessage="1" showErrorMessage="1" sqref="AT4:AX23" xr:uid="{FB3E77E0-D6D4-4A46-8836-78B84D4A7A7E}">
      <formula1>"Not Answered,1,2,3,4,5"</formula1>
    </dataValidation>
  </dataValidations>
  <hyperlinks>
    <hyperlink ref="D4" r:id="rId1" display="mailto:pandiankailash9@gmail.com" xr:uid="{44276A78-7AC3-4A47-8B15-932405FEC86F}"/>
    <hyperlink ref="D5" r:id="rId2" display="mailto:samarlinjeffry726@gmail.com" xr:uid="{58AC204F-A25B-4B76-BEB4-50C0E60B341B}"/>
    <hyperlink ref="D6" r:id="rId3" display="mailto:itzsajeetha@gmail.com" xr:uid="{91449CD7-087E-43CC-A290-02EA7AE78322}"/>
    <hyperlink ref="D7" r:id="rId4" display="mailto:vinokamalam@gmail.com" xr:uid="{79ACEEE8-B6EA-4A42-A5C9-1EAF523042CF}"/>
    <hyperlink ref="D8" r:id="rId5" display="mailto:akshayaram222004@gmail.com" xr:uid="{376D1C67-C23A-481A-A066-CEB450D6FC52}"/>
    <hyperlink ref="D9" r:id="rId6" display="mailto:vijayavarshinij2404@gmail.com" xr:uid="{DA7E203C-9600-4FE8-AACB-D6DDF4ECA937}"/>
    <hyperlink ref="D10" r:id="rId7" display="mailto:poojithareddy635@gmail.com" xr:uid="{5B7FA20F-B50E-4B15-A10A-DE3D4180E4D9}"/>
    <hyperlink ref="D11" r:id="rId8" display="mailto:naveenk99680@gmail.com" xr:uid="{D279F336-AC6C-46D4-BCF1-160C6F94F7CA}"/>
    <hyperlink ref="D12" r:id="rId9" display="mailto:kirupavaikundam@gmail.com" xr:uid="{A69166F2-4B77-457B-B2F7-7E1FB6BFD20C}"/>
    <hyperlink ref="D13" r:id="rId10" display="mailto:snowincafasso565@gmail.com" xr:uid="{6EE9EE7D-B0E5-4579-A439-1A4B64E09755}"/>
    <hyperlink ref="D14" r:id="rId11" display="mailto:varunxig@gmail.com" xr:uid="{B93FCCEB-E326-4999-B360-02915D7DF154}"/>
    <hyperlink ref="D15" r:id="rId12" display="mailto:vb.shakira@gmail.com" xr:uid="{7DB47A6E-2766-4F23-BEDD-1E5273541634}"/>
    <hyperlink ref="D16" r:id="rId13" display="mailto:lingeeshdharnesh@gmail.com" xr:uid="{48E085C3-B628-4088-9433-7942FBBD1DC1}"/>
    <hyperlink ref="D17" r:id="rId14" display="mailto:psgeethalekshmi3010@gmail.com" xr:uid="{55C531C4-F969-4C69-A24B-F147B89189B6}"/>
    <hyperlink ref="D18" r:id="rId15" display="mailto:durgadevitsrsdd@gmail.com" xr:uid="{3DE6ABFF-FB4E-4DC2-994D-753C3652C323}"/>
    <hyperlink ref="D19" r:id="rId16" display="mailto:sivagovind005@gmail.com" xr:uid="{3E6088E3-4203-482E-B686-CF64E5DE888D}"/>
    <hyperlink ref="D20" r:id="rId17" display="mailto:madeshcanniappin@gmail.com" xr:uid="{F4D1AE3F-C256-483D-B45D-12682F57C65C}"/>
    <hyperlink ref="D21" r:id="rId18" display="mailto:nethuraju5@gmail.com" xr:uid="{75570F2D-2911-49C5-9CFD-030D085A30F8}"/>
    <hyperlink ref="D22" r:id="rId19" display="mailto:thirksha1610@gmail.com" xr:uid="{32FEE43C-BCAD-49FF-9AA8-70611AA774F6}"/>
    <hyperlink ref="D23" r:id="rId20" display="mailto:adeshabin112233@gmail.com" xr:uid="{D4EAC75F-084A-4418-B273-44D229C17762}"/>
  </hyperlinks>
  <pageMargins left="0.7" right="0.7" top="0.75" bottom="0.75" header="0.3" footer="0.3"/>
  <pageSetup orientation="portrait" horizontalDpi="300" verticalDpi="300" r:id="rId2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F7787-1518-4F82-A082-3A65730346C4}">
  <dimension ref="A1:L21"/>
  <sheetViews>
    <sheetView showGridLines="0" workbookViewId="0">
      <pane xSplit="3" topLeftCell="D1" activePane="topRight" state="frozen"/>
      <selection pane="topRight" activeCell="C13" sqref="C13"/>
    </sheetView>
  </sheetViews>
  <sheetFormatPr defaultRowHeight="15" x14ac:dyDescent="0.25"/>
  <cols>
    <col min="1" max="1" width="6.140625" style="20" bestFit="1" customWidth="1"/>
    <col min="2" max="2" width="11.140625" style="20" bestFit="1" customWidth="1"/>
    <col min="3" max="3" width="29.140625" style="18" bestFit="1" customWidth="1"/>
    <col min="4" max="4" width="31.85546875" style="18" bestFit="1" customWidth="1"/>
    <col min="5" max="6" width="13.140625" style="20" bestFit="1" customWidth="1"/>
    <col min="7" max="12" width="67" style="19" bestFit="1" customWidth="1"/>
  </cols>
  <sheetData>
    <row r="1" spans="1:12" s="17" customFormat="1" ht="30" x14ac:dyDescent="0.25">
      <c r="A1" s="38" t="s">
        <v>117</v>
      </c>
      <c r="B1" s="38" t="s">
        <v>119</v>
      </c>
      <c r="C1" s="38" t="s">
        <v>0</v>
      </c>
      <c r="D1" s="38" t="s">
        <v>115</v>
      </c>
      <c r="E1" s="38" t="s">
        <v>1</v>
      </c>
      <c r="F1" s="38" t="s">
        <v>2</v>
      </c>
      <c r="G1" s="21" t="s">
        <v>120</v>
      </c>
      <c r="H1" s="21" t="s">
        <v>121</v>
      </c>
      <c r="I1" s="21" t="s">
        <v>122</v>
      </c>
      <c r="J1" s="21" t="s">
        <v>123</v>
      </c>
      <c r="K1" s="21" t="s">
        <v>124</v>
      </c>
      <c r="L1" s="21" t="s">
        <v>125</v>
      </c>
    </row>
    <row r="2" spans="1:12" x14ac:dyDescent="0.25">
      <c r="A2" s="41">
        <v>1</v>
      </c>
      <c r="B2" s="40">
        <v>6413395</v>
      </c>
      <c r="C2" s="40" t="s">
        <v>131</v>
      </c>
      <c r="D2" s="43" t="s">
        <v>132</v>
      </c>
      <c r="E2" s="40" t="s">
        <v>171</v>
      </c>
      <c r="F2" s="41"/>
      <c r="G2" s="42" t="s">
        <v>126</v>
      </c>
      <c r="H2" s="42" t="s">
        <v>126</v>
      </c>
      <c r="I2" s="42" t="s">
        <v>126</v>
      </c>
      <c r="J2" s="42" t="s">
        <v>126</v>
      </c>
      <c r="K2" s="42" t="s">
        <v>126</v>
      </c>
      <c r="L2" s="42" t="s">
        <v>126</v>
      </c>
    </row>
    <row r="3" spans="1:12" x14ac:dyDescent="0.25">
      <c r="A3" s="41">
        <v>2</v>
      </c>
      <c r="B3" s="40">
        <v>6412344</v>
      </c>
      <c r="C3" s="40" t="s">
        <v>133</v>
      </c>
      <c r="D3" s="43" t="s">
        <v>134</v>
      </c>
      <c r="E3" s="40" t="s">
        <v>171</v>
      </c>
      <c r="F3" s="41"/>
      <c r="G3" s="42" t="s">
        <v>126</v>
      </c>
      <c r="H3" s="42" t="s">
        <v>126</v>
      </c>
      <c r="I3" s="42" t="s">
        <v>126</v>
      </c>
      <c r="J3" s="42" t="s">
        <v>126</v>
      </c>
      <c r="K3" s="42" t="s">
        <v>126</v>
      </c>
      <c r="L3" s="42" t="s">
        <v>126</v>
      </c>
    </row>
    <row r="4" spans="1:12" x14ac:dyDescent="0.25">
      <c r="A4" s="41">
        <v>3</v>
      </c>
      <c r="B4" s="40">
        <v>6417282</v>
      </c>
      <c r="C4" s="40" t="s">
        <v>135</v>
      </c>
      <c r="D4" s="43" t="s">
        <v>136</v>
      </c>
      <c r="E4" s="40" t="s">
        <v>171</v>
      </c>
      <c r="F4" s="41"/>
      <c r="G4" s="42" t="s">
        <v>126</v>
      </c>
      <c r="H4" s="42" t="s">
        <v>126</v>
      </c>
      <c r="I4" s="42" t="s">
        <v>126</v>
      </c>
      <c r="J4" s="42" t="s">
        <v>126</v>
      </c>
      <c r="K4" s="42" t="s">
        <v>126</v>
      </c>
      <c r="L4" s="42" t="s">
        <v>126</v>
      </c>
    </row>
    <row r="5" spans="1:12" x14ac:dyDescent="0.25">
      <c r="A5" s="41">
        <v>4</v>
      </c>
      <c r="B5" s="40">
        <v>6524206</v>
      </c>
      <c r="C5" s="40" t="s">
        <v>137</v>
      </c>
      <c r="D5" s="43" t="s">
        <v>138</v>
      </c>
      <c r="E5" s="40" t="s">
        <v>171</v>
      </c>
      <c r="F5" s="41"/>
      <c r="G5" s="42" t="s">
        <v>126</v>
      </c>
      <c r="H5" s="42" t="s">
        <v>126</v>
      </c>
      <c r="I5" s="42" t="s">
        <v>126</v>
      </c>
      <c r="J5" s="42" t="s">
        <v>126</v>
      </c>
      <c r="K5" s="42" t="s">
        <v>126</v>
      </c>
      <c r="L5" s="42" t="s">
        <v>126</v>
      </c>
    </row>
    <row r="6" spans="1:12" x14ac:dyDescent="0.25">
      <c r="A6" s="41">
        <v>5</v>
      </c>
      <c r="B6" s="40">
        <v>6525014</v>
      </c>
      <c r="C6" s="40" t="s">
        <v>139</v>
      </c>
      <c r="D6" s="43" t="s">
        <v>140</v>
      </c>
      <c r="E6" s="40" t="s">
        <v>171</v>
      </c>
      <c r="F6" s="41"/>
      <c r="G6" s="42" t="s">
        <v>126</v>
      </c>
      <c r="H6" s="42" t="s">
        <v>126</v>
      </c>
      <c r="I6" s="42" t="s">
        <v>126</v>
      </c>
      <c r="J6" s="42" t="s">
        <v>126</v>
      </c>
      <c r="K6" s="42" t="s">
        <v>126</v>
      </c>
      <c r="L6" s="42" t="s">
        <v>126</v>
      </c>
    </row>
    <row r="7" spans="1:12" x14ac:dyDescent="0.25">
      <c r="A7" s="41">
        <v>6</v>
      </c>
      <c r="B7" s="40">
        <v>6526126</v>
      </c>
      <c r="C7" s="40" t="s">
        <v>141</v>
      </c>
      <c r="D7" s="43" t="s">
        <v>142</v>
      </c>
      <c r="E7" s="40" t="s">
        <v>171</v>
      </c>
      <c r="F7" s="41"/>
      <c r="G7" s="42" t="s">
        <v>126</v>
      </c>
      <c r="H7" s="42" t="s">
        <v>126</v>
      </c>
      <c r="I7" s="42" t="s">
        <v>126</v>
      </c>
      <c r="J7" s="42" t="s">
        <v>126</v>
      </c>
      <c r="K7" s="42" t="s">
        <v>126</v>
      </c>
      <c r="L7" s="42" t="s">
        <v>126</v>
      </c>
    </row>
    <row r="8" spans="1:12" x14ac:dyDescent="0.25">
      <c r="A8" s="41">
        <v>7</v>
      </c>
      <c r="B8" s="40">
        <v>6569189</v>
      </c>
      <c r="C8" s="40" t="s">
        <v>143</v>
      </c>
      <c r="D8" s="43" t="s">
        <v>144</v>
      </c>
      <c r="E8" s="40" t="s">
        <v>171</v>
      </c>
      <c r="F8" s="41"/>
      <c r="G8" s="42" t="s">
        <v>126</v>
      </c>
      <c r="H8" s="42" t="s">
        <v>126</v>
      </c>
      <c r="I8" s="42" t="s">
        <v>126</v>
      </c>
      <c r="J8" s="42" t="s">
        <v>126</v>
      </c>
      <c r="K8" s="42" t="s">
        <v>126</v>
      </c>
      <c r="L8" s="42" t="s">
        <v>126</v>
      </c>
    </row>
    <row r="9" spans="1:12" x14ac:dyDescent="0.25">
      <c r="A9" s="41">
        <v>8</v>
      </c>
      <c r="B9" s="40">
        <v>6567404</v>
      </c>
      <c r="C9" s="40" t="s">
        <v>145</v>
      </c>
      <c r="D9" s="43" t="s">
        <v>146</v>
      </c>
      <c r="E9" s="40" t="s">
        <v>171</v>
      </c>
      <c r="F9" s="41"/>
      <c r="G9" s="42" t="s">
        <v>126</v>
      </c>
      <c r="H9" s="42" t="s">
        <v>126</v>
      </c>
      <c r="I9" s="42" t="s">
        <v>126</v>
      </c>
      <c r="J9" s="42" t="s">
        <v>126</v>
      </c>
      <c r="K9" s="42" t="s">
        <v>126</v>
      </c>
      <c r="L9" s="42" t="s">
        <v>126</v>
      </c>
    </row>
    <row r="10" spans="1:12" x14ac:dyDescent="0.25">
      <c r="A10" s="41">
        <v>9</v>
      </c>
      <c r="B10" s="40">
        <v>6385198</v>
      </c>
      <c r="C10" s="40" t="s">
        <v>147</v>
      </c>
      <c r="D10" s="43" t="s">
        <v>148</v>
      </c>
      <c r="E10" s="40" t="s">
        <v>171</v>
      </c>
      <c r="F10" s="41"/>
      <c r="G10" s="42" t="s">
        <v>126</v>
      </c>
      <c r="H10" s="42" t="s">
        <v>126</v>
      </c>
      <c r="I10" s="42" t="s">
        <v>126</v>
      </c>
      <c r="J10" s="42" t="s">
        <v>126</v>
      </c>
      <c r="K10" s="42" t="s">
        <v>126</v>
      </c>
      <c r="L10" s="42" t="s">
        <v>126</v>
      </c>
    </row>
    <row r="11" spans="1:12" x14ac:dyDescent="0.25">
      <c r="A11" s="41">
        <v>10</v>
      </c>
      <c r="B11" s="40">
        <v>6433293</v>
      </c>
      <c r="C11" s="40" t="s">
        <v>149</v>
      </c>
      <c r="D11" s="43" t="s">
        <v>150</v>
      </c>
      <c r="E11" s="40" t="s">
        <v>171</v>
      </c>
      <c r="F11" s="41"/>
      <c r="G11" s="42" t="s">
        <v>126</v>
      </c>
      <c r="H11" s="42" t="s">
        <v>126</v>
      </c>
      <c r="I11" s="42" t="s">
        <v>126</v>
      </c>
      <c r="J11" s="42" t="s">
        <v>126</v>
      </c>
      <c r="K11" s="42" t="s">
        <v>126</v>
      </c>
      <c r="L11" s="42" t="s">
        <v>126</v>
      </c>
    </row>
    <row r="12" spans="1:12" x14ac:dyDescent="0.25">
      <c r="A12" s="41">
        <v>11</v>
      </c>
      <c r="B12" s="40">
        <v>6443376</v>
      </c>
      <c r="C12" s="40" t="s">
        <v>151</v>
      </c>
      <c r="D12" s="43" t="s">
        <v>152</v>
      </c>
      <c r="E12" s="40" t="s">
        <v>171</v>
      </c>
      <c r="F12" s="41"/>
      <c r="G12" s="42" t="s">
        <v>126</v>
      </c>
      <c r="H12" s="42" t="s">
        <v>126</v>
      </c>
      <c r="I12" s="42" t="s">
        <v>126</v>
      </c>
      <c r="J12" s="42" t="s">
        <v>126</v>
      </c>
      <c r="K12" s="42" t="s">
        <v>126</v>
      </c>
      <c r="L12" s="42" t="s">
        <v>126</v>
      </c>
    </row>
    <row r="13" spans="1:12" x14ac:dyDescent="0.25">
      <c r="A13" s="41">
        <v>12</v>
      </c>
      <c r="B13" s="40">
        <v>6574685</v>
      </c>
      <c r="C13" s="40" t="s">
        <v>153</v>
      </c>
      <c r="D13" s="43" t="s">
        <v>154</v>
      </c>
      <c r="E13" s="40" t="s">
        <v>171</v>
      </c>
      <c r="F13" s="41"/>
      <c r="G13" s="42" t="s">
        <v>126</v>
      </c>
      <c r="H13" s="42" t="s">
        <v>126</v>
      </c>
      <c r="I13" s="42" t="s">
        <v>126</v>
      </c>
      <c r="J13" s="42" t="s">
        <v>126</v>
      </c>
      <c r="K13" s="42" t="s">
        <v>126</v>
      </c>
      <c r="L13" s="42" t="s">
        <v>126</v>
      </c>
    </row>
    <row r="14" spans="1:12" x14ac:dyDescent="0.25">
      <c r="A14" s="41">
        <v>13</v>
      </c>
      <c r="B14" s="40">
        <v>6571213</v>
      </c>
      <c r="C14" s="40" t="s">
        <v>155</v>
      </c>
      <c r="D14" s="43" t="s">
        <v>156</v>
      </c>
      <c r="E14" s="40" t="s">
        <v>171</v>
      </c>
      <c r="F14" s="41"/>
      <c r="G14" s="42" t="s">
        <v>126</v>
      </c>
      <c r="H14" s="42" t="s">
        <v>126</v>
      </c>
      <c r="I14" s="42" t="s">
        <v>126</v>
      </c>
      <c r="J14" s="42" t="s">
        <v>126</v>
      </c>
      <c r="K14" s="42" t="s">
        <v>126</v>
      </c>
      <c r="L14" s="42" t="s">
        <v>126</v>
      </c>
    </row>
    <row r="15" spans="1:12" x14ac:dyDescent="0.25">
      <c r="A15" s="41">
        <v>14</v>
      </c>
      <c r="B15" s="40">
        <v>6570849</v>
      </c>
      <c r="C15" s="40" t="s">
        <v>157</v>
      </c>
      <c r="D15" s="43" t="s">
        <v>158</v>
      </c>
      <c r="E15" s="40" t="s">
        <v>171</v>
      </c>
      <c r="F15" s="41"/>
      <c r="G15" s="42" t="s">
        <v>126</v>
      </c>
      <c r="H15" s="42" t="s">
        <v>126</v>
      </c>
      <c r="I15" s="42" t="s">
        <v>126</v>
      </c>
      <c r="J15" s="42" t="s">
        <v>126</v>
      </c>
      <c r="K15" s="42" t="s">
        <v>126</v>
      </c>
      <c r="L15" s="42" t="s">
        <v>126</v>
      </c>
    </row>
    <row r="16" spans="1:12" x14ac:dyDescent="0.25">
      <c r="A16" s="41">
        <v>15</v>
      </c>
      <c r="B16" s="40">
        <v>6571938</v>
      </c>
      <c r="C16" s="40" t="s">
        <v>159</v>
      </c>
      <c r="D16" s="43" t="s">
        <v>160</v>
      </c>
      <c r="E16" s="40" t="s">
        <v>171</v>
      </c>
      <c r="F16" s="41"/>
      <c r="G16" s="42" t="s">
        <v>126</v>
      </c>
      <c r="H16" s="42" t="s">
        <v>126</v>
      </c>
      <c r="I16" s="42" t="s">
        <v>126</v>
      </c>
      <c r="J16" s="42" t="s">
        <v>126</v>
      </c>
      <c r="K16" s="42" t="s">
        <v>126</v>
      </c>
      <c r="L16" s="42" t="s">
        <v>126</v>
      </c>
    </row>
    <row r="17" spans="1:12" x14ac:dyDescent="0.25">
      <c r="A17" s="41">
        <v>16</v>
      </c>
      <c r="B17" s="40">
        <v>6574511</v>
      </c>
      <c r="C17" s="40" t="s">
        <v>161</v>
      </c>
      <c r="D17" s="43" t="s">
        <v>162</v>
      </c>
      <c r="E17" s="40" t="s">
        <v>171</v>
      </c>
      <c r="F17" s="41"/>
      <c r="G17" s="42" t="s">
        <v>126</v>
      </c>
      <c r="H17" s="42" t="s">
        <v>126</v>
      </c>
      <c r="I17" s="42" t="s">
        <v>126</v>
      </c>
      <c r="J17" s="42" t="s">
        <v>126</v>
      </c>
      <c r="K17" s="42" t="s">
        <v>126</v>
      </c>
      <c r="L17" s="42" t="s">
        <v>126</v>
      </c>
    </row>
    <row r="18" spans="1:12" x14ac:dyDescent="0.25">
      <c r="A18" s="41">
        <v>17</v>
      </c>
      <c r="B18" s="40">
        <v>6575163</v>
      </c>
      <c r="C18" s="40" t="s">
        <v>163</v>
      </c>
      <c r="D18" s="43" t="s">
        <v>164</v>
      </c>
      <c r="E18" s="40" t="s">
        <v>171</v>
      </c>
      <c r="F18" s="41"/>
      <c r="G18" s="42" t="s">
        <v>126</v>
      </c>
      <c r="H18" s="42" t="s">
        <v>126</v>
      </c>
      <c r="I18" s="42" t="s">
        <v>126</v>
      </c>
      <c r="J18" s="42" t="s">
        <v>126</v>
      </c>
      <c r="K18" s="42" t="s">
        <v>126</v>
      </c>
      <c r="L18" s="42" t="s">
        <v>126</v>
      </c>
    </row>
    <row r="19" spans="1:12" x14ac:dyDescent="0.25">
      <c r="A19" s="41">
        <v>18</v>
      </c>
      <c r="B19" s="40">
        <v>6375194</v>
      </c>
      <c r="C19" s="40" t="s">
        <v>165</v>
      </c>
      <c r="D19" s="43" t="s">
        <v>166</v>
      </c>
      <c r="E19" s="40" t="s">
        <v>171</v>
      </c>
      <c r="F19" s="41"/>
      <c r="G19" s="42" t="s">
        <v>126</v>
      </c>
      <c r="H19" s="42" t="s">
        <v>126</v>
      </c>
      <c r="I19" s="42" t="s">
        <v>126</v>
      </c>
      <c r="J19" s="42" t="s">
        <v>126</v>
      </c>
      <c r="K19" s="42" t="s">
        <v>126</v>
      </c>
      <c r="L19" s="42" t="s">
        <v>126</v>
      </c>
    </row>
    <row r="20" spans="1:12" x14ac:dyDescent="0.25">
      <c r="A20" s="41">
        <v>19</v>
      </c>
      <c r="B20" s="40">
        <v>6398084</v>
      </c>
      <c r="C20" s="40" t="s">
        <v>167</v>
      </c>
      <c r="D20" s="43" t="s">
        <v>168</v>
      </c>
      <c r="E20" s="40" t="s">
        <v>171</v>
      </c>
      <c r="F20" s="41"/>
      <c r="G20" s="42" t="s">
        <v>126</v>
      </c>
      <c r="H20" s="42" t="s">
        <v>126</v>
      </c>
      <c r="I20" s="42" t="s">
        <v>126</v>
      </c>
      <c r="J20" s="42" t="s">
        <v>126</v>
      </c>
      <c r="K20" s="42" t="s">
        <v>126</v>
      </c>
      <c r="L20" s="42" t="s">
        <v>126</v>
      </c>
    </row>
    <row r="21" spans="1:12" x14ac:dyDescent="0.25">
      <c r="A21" s="41">
        <v>20</v>
      </c>
      <c r="B21" s="40">
        <v>6629670</v>
      </c>
      <c r="C21" s="40" t="s">
        <v>169</v>
      </c>
      <c r="D21" s="43" t="s">
        <v>170</v>
      </c>
      <c r="E21" s="40" t="s">
        <v>171</v>
      </c>
      <c r="F21" s="41"/>
      <c r="G21" s="42" t="s">
        <v>126</v>
      </c>
      <c r="H21" s="42" t="s">
        <v>126</v>
      </c>
      <c r="I21" s="42" t="s">
        <v>126</v>
      </c>
      <c r="J21" s="42" t="s">
        <v>126</v>
      </c>
      <c r="K21" s="42" t="s">
        <v>126</v>
      </c>
      <c r="L21" s="42" t="s">
        <v>126</v>
      </c>
    </row>
  </sheetData>
  <hyperlinks>
    <hyperlink ref="D2" r:id="rId1" display="mailto:pandiankailash9@gmail.com" xr:uid="{2C1CCDA8-BF9E-4D49-B897-9A0E49CAA21F}"/>
    <hyperlink ref="D3" r:id="rId2" display="mailto:samarlinjeffry726@gmail.com" xr:uid="{3972600B-CA3B-4E48-84FC-F8221D383FEE}"/>
    <hyperlink ref="D4" r:id="rId3" display="mailto:itzsajeetha@gmail.com" xr:uid="{FCE8C0E8-F918-4723-BD71-7DDC5923700E}"/>
    <hyperlink ref="D5" r:id="rId4" display="mailto:vinokamalam@gmail.com" xr:uid="{AD0662FB-A605-4D9D-BF67-113DF7CE3D22}"/>
    <hyperlink ref="D6" r:id="rId5" display="mailto:akshayaram222004@gmail.com" xr:uid="{EF9C801D-35EB-4366-932E-705621CE13FE}"/>
    <hyperlink ref="D7" r:id="rId6" display="mailto:vijayavarshinij2404@gmail.com" xr:uid="{70AEB20E-BB12-4F71-846D-D6F9589D42D4}"/>
    <hyperlink ref="D8" r:id="rId7" display="mailto:poojithareddy635@gmail.com" xr:uid="{3A65F324-2288-480B-99E6-40A7E72B772A}"/>
    <hyperlink ref="D9" r:id="rId8" display="mailto:naveenk99680@gmail.com" xr:uid="{2F58E572-166B-46F4-BE17-71F64F9C5870}"/>
    <hyperlink ref="D10" r:id="rId9" display="mailto:kirupavaikundam@gmail.com" xr:uid="{26DEAC10-AA2E-4226-9D88-133AD57B7AF4}"/>
    <hyperlink ref="D11" r:id="rId10" display="mailto:snowincafasso565@gmail.com" xr:uid="{98B31241-BE52-4C0F-96D3-21E4BBDB12AB}"/>
    <hyperlink ref="D12" r:id="rId11" display="mailto:varunxig@gmail.com" xr:uid="{1B0120C2-5775-41BC-9312-5B5B5FA7F18F}"/>
    <hyperlink ref="D13" r:id="rId12" display="mailto:vb.shakira@gmail.com" xr:uid="{4C6F54FE-C5F6-44F1-A6C6-6180485ABFF0}"/>
    <hyperlink ref="D14" r:id="rId13" display="mailto:lingeeshdharnesh@gmail.com" xr:uid="{162298E9-D532-4113-AB0B-C00E798CFE8B}"/>
    <hyperlink ref="D15" r:id="rId14" display="mailto:psgeethalekshmi3010@gmail.com" xr:uid="{AC1DD705-2E9D-4039-B1EF-1DC224100474}"/>
    <hyperlink ref="D16" r:id="rId15" display="mailto:durgadevitsrsdd@gmail.com" xr:uid="{BA863BD3-3C02-41BE-85D6-99BC597B57B0}"/>
    <hyperlink ref="D17" r:id="rId16" display="mailto:sivagovind005@gmail.com" xr:uid="{E2C7A3D7-593E-4F14-8150-31175C798AFF}"/>
    <hyperlink ref="D18" r:id="rId17" display="mailto:madeshcanniappin@gmail.com" xr:uid="{04ACA7FE-E32F-414D-AFA4-724ACC300624}"/>
    <hyperlink ref="D19" r:id="rId18" display="mailto:nethuraju5@gmail.com" xr:uid="{4A6B172D-48AA-40DD-8F13-C28D0786B581}"/>
    <hyperlink ref="D20" r:id="rId19" display="mailto:thirksha1610@gmail.com" xr:uid="{93B6C1CD-720A-4C9F-979D-0FF22DCB986B}"/>
    <hyperlink ref="D21" r:id="rId20" display="mailto:adeshabin112233@gmail.com" xr:uid="{26331FA1-C7D2-4EA1-8FF7-F15A94FC6256}"/>
  </hyperlinks>
  <pageMargins left="0.7" right="0.7" top="0.75" bottom="0.75" header="0.3" footer="0.3"/>
  <pageSetup orientation="portrait" r:id="rId2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A9CB9-CC0E-4BD5-9C2D-22371C540B4E}">
  <dimension ref="A2:B16"/>
  <sheetViews>
    <sheetView workbookViewId="0">
      <selection activeCell="E14" sqref="E14"/>
    </sheetView>
  </sheetViews>
  <sheetFormatPr defaultRowHeight="15" x14ac:dyDescent="0.25"/>
  <cols>
    <col min="1" max="1" width="27.42578125" bestFit="1" customWidth="1"/>
  </cols>
  <sheetData>
    <row r="2" spans="1:2" x14ac:dyDescent="0.25">
      <c r="A2" t="s">
        <v>59</v>
      </c>
    </row>
    <row r="3" spans="1:2" x14ac:dyDescent="0.25">
      <c r="A3" s="5" t="s">
        <v>47</v>
      </c>
      <c r="B3" s="5">
        <v>0</v>
      </c>
    </row>
    <row r="4" spans="1:2" x14ac:dyDescent="0.25">
      <c r="A4" s="5" t="s">
        <v>48</v>
      </c>
      <c r="B4" s="5">
        <v>1</v>
      </c>
    </row>
    <row r="5" spans="1:2" x14ac:dyDescent="0.25">
      <c r="A5" s="5" t="s">
        <v>49</v>
      </c>
      <c r="B5" s="5">
        <v>2</v>
      </c>
    </row>
    <row r="6" spans="1:2" x14ac:dyDescent="0.25">
      <c r="A6" s="6" t="s">
        <v>50</v>
      </c>
      <c r="B6" s="5">
        <v>3</v>
      </c>
    </row>
    <row r="7" spans="1:2" x14ac:dyDescent="0.25">
      <c r="A7" s="6" t="s">
        <v>51</v>
      </c>
      <c r="B7" s="5">
        <v>4</v>
      </c>
    </row>
    <row r="8" spans="1:2" x14ac:dyDescent="0.25">
      <c r="A8" s="5" t="s">
        <v>52</v>
      </c>
      <c r="B8" s="5">
        <v>5</v>
      </c>
    </row>
    <row r="11" spans="1:2" x14ac:dyDescent="0.25">
      <c r="A11" s="5" t="s">
        <v>53</v>
      </c>
      <c r="B11" s="5">
        <v>0</v>
      </c>
    </row>
    <row r="12" spans="1:2" x14ac:dyDescent="0.25">
      <c r="A12" s="5" t="s">
        <v>54</v>
      </c>
      <c r="B12" s="5">
        <v>1</v>
      </c>
    </row>
    <row r="13" spans="1:2" x14ac:dyDescent="0.25">
      <c r="A13" s="5" t="s">
        <v>55</v>
      </c>
      <c r="B13" s="5">
        <v>2</v>
      </c>
    </row>
    <row r="14" spans="1:2" x14ac:dyDescent="0.25">
      <c r="A14" s="5" t="s">
        <v>56</v>
      </c>
      <c r="B14" s="5">
        <v>3</v>
      </c>
    </row>
    <row r="15" spans="1:2" x14ac:dyDescent="0.25">
      <c r="A15" s="5" t="s">
        <v>57</v>
      </c>
      <c r="B15" s="5">
        <v>4</v>
      </c>
    </row>
    <row r="16" spans="1:2" x14ac:dyDescent="0.25">
      <c r="A16" s="5" t="s">
        <v>58</v>
      </c>
      <c r="B16" s="5">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Evaluation Parameters</vt:lpstr>
      <vt:lpstr>Scoring Sheet</vt:lpstr>
      <vt:lpstr>Sprint Evaluation Comments</vt:lpstr>
      <vt:lpstr>Evaluation 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Shyamala lakshmi Ilangovan</dc:creator>
  <cp:lastModifiedBy>Sowmiya Ramamoorthy</cp:lastModifiedBy>
  <dcterms:created xsi:type="dcterms:W3CDTF">2022-10-20T13:32:41Z</dcterms:created>
  <dcterms:modified xsi:type="dcterms:W3CDTF">2026-03-18T13:01:32Z</dcterms:modified>
</cp:coreProperties>
</file>